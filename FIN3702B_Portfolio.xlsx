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1_Summary" sheetId="2" r:id="rId2"/>
    <sheet name="S2_MVF_Excel" sheetId="3" r:id="rId3"/>
    <sheet name="S3_MVF_AI" sheetId="4" r:id="rId4"/>
    <sheet name="S4_Prices" sheetId="5" r:id="rId5"/>
    <sheet name="S5_Macro" sheetId="6" r:id="rId6"/>
    <sheet name="S6_Returns" sheetId="7" r:id="rId7"/>
    <sheet name="S7_Cov" sheetId="8" r:id="rId8"/>
    <sheet name="S8_Solver" sheetId="9" r:id="rId9"/>
  </sheets>
  <definedNames>
    <definedName name="solver_adj" localSheetId="8">S8_Solver!$B$15:$K$15</definedName>
    <definedName name="solver_eng" localSheetId="8">1</definedName>
    <definedName name="solver_lhs1" localSheetId="8">S8_Solver!$L$15</definedName>
    <definedName name="solver_lhs2" localSheetId="8">S8_Solver!$B$20</definedName>
    <definedName name="solver_neg" localSheetId="8">1</definedName>
    <definedName name="solver_num" localSheetId="8">2</definedName>
    <definedName name="solver_opt" localSheetId="8">S8_Solver!$B$19</definedName>
    <definedName name="solver_rel1" localSheetId="8">2</definedName>
    <definedName name="solver_rel2" localSheetId="8">3</definedName>
    <definedName name="solver_rhs1" localSheetId="8">1</definedName>
    <definedName name="solver_rhs2" localSheetId="8">2</definedName>
    <definedName name="solver_typ" localSheetId="8">1</definedName>
    <definedName name="solver_val" localSheetId="8">0</definedName>
  </definedNames>
  <calcPr calcId="124519" fullCalcOnLoad="1"/>
</workbook>
</file>

<file path=xl/sharedStrings.xml><?xml version="1.0" encoding="utf-8"?>
<sst xmlns="http://schemas.openxmlformats.org/spreadsheetml/2006/main" count="225" uniqueCount="127">
  <si>
    <t>Date</t>
  </si>
  <si>
    <t>SPY</t>
  </si>
  <si>
    <t>IWM</t>
  </si>
  <si>
    <t>VEA</t>
  </si>
  <si>
    <t>VWO</t>
  </si>
  <si>
    <t>XLE</t>
  </si>
  <si>
    <t>QQQ</t>
  </si>
  <si>
    <t>AGG</t>
  </si>
  <si>
    <t>TIP</t>
  </si>
  <si>
    <t>HYG</t>
  </si>
  <si>
    <t>GLD</t>
  </si>
  <si>
    <t>Close -&gt;</t>
  </si>
  <si>
    <t>Source: Yahoo Finance via yfinance, month-end Adj Close (cols B:K) and Close (cols N:W).</t>
  </si>
  <si>
    <t>Mkt-RF (%)</t>
  </si>
  <si>
    <t>SMB (%)</t>
  </si>
  <si>
    <t>HML (%)</t>
  </si>
  <si>
    <t>RF (%)</t>
  </si>
  <si>
    <t>Source: Kenneth French Data Library, F-F_Research_Data_Factors (monthly), percent.</t>
  </si>
  <si>
    <t>DGS10</t>
  </si>
  <si>
    <t>T10Y2Y</t>
  </si>
  <si>
    <t>VIXCLS</t>
  </si>
  <si>
    <t>FEDFUNDS</t>
  </si>
  <si>
    <t>CPIAUCSL</t>
  </si>
  <si>
    <t>UNRATE</t>
  </si>
  <si>
    <t>Source: FRED (daily series averaged to month); capped at 2024-12-31 for the Step 6 model.</t>
  </si>
  <si>
    <t>RF (monthly)</t>
  </si>
  <si>
    <t>Annualised return (arith. mean x 12)</t>
  </si>
  <si>
    <t>Annualised st. dev. (STDEV.S x SQRT 12)</t>
  </si>
  <si>
    <t>Risk-free (annual, mean monthly RF x 12)</t>
  </si>
  <si>
    <t>Sharpe ratio</t>
  </si>
  <si>
    <t>Estimation window: rows 2-49 (Jan 2021 - Dec 2024, 48 obs). Rows 50-61 (2025) are hold-out, used only in Step 8.</t>
  </si>
  <si>
    <t>Annualised cov (monthly COVARIANCE.S x 12)</t>
  </si>
  <si>
    <t>Weights via Excel Solver: MVP, ORP, OCP (A = 7)</t>
  </si>
  <si>
    <t>Yellow cells are Solver decision variables (pre-filled with the Python optimum). Re-run Solver to confirm; everything else is a formula.</t>
  </si>
  <si>
    <t>Ticker</t>
  </si>
  <si>
    <t>Sum</t>
  </si>
  <si>
    <t>E[r] (annualised)</t>
  </si>
  <si>
    <t>St. dev. (annualised)</t>
  </si>
  <si>
    <t>Risk-free (annual)</t>
  </si>
  <si>
    <t>1) MINIMUM VARIANCE PORTFOLIO (MVP)</t>
  </si>
  <si>
    <t>Weights</t>
  </si>
  <si>
    <t>Return</t>
  </si>
  <si>
    <t>Variance (objective: minimise)</t>
  </si>
  <si>
    <t>St. dev.</t>
  </si>
  <si>
    <t>Sharpe</t>
  </si>
  <si>
    <t>2) OPTIMUM RISKY PORTFOLIO (ORP)</t>
  </si>
  <si>
    <t>Variance</t>
  </si>
  <si>
    <t>Sharpe (objective: maximise)</t>
  </si>
  <si>
    <t># ETFs with weight &gt; 0.01% (need &gt;= 2)</t>
  </si>
  <si>
    <t>3) OPTIMUM COMPLETE PORTFOLIO (OCP), A = 7</t>
  </si>
  <si>
    <t>y = share in ORP (decision variable)</t>
  </si>
  <si>
    <t>Risky weights (y x ORP)</t>
  </si>
  <si>
    <t>Risk-free weight (1 - y; negative = borrowing at rf)</t>
  </si>
  <si>
    <t>Utility = E[r] - 0.5*A*var (objective: maximise)</t>
  </si>
  <si>
    <t>Risk aversion A</t>
  </si>
  <si>
    <t>Closed-form y* = (E[rORP]-rf)/(A var_ORP)</t>
  </si>
  <si>
    <t>HOW TO RUN SOLVER (Data &gt; Solver; Solving Method = GRG Nonlinear; tick 'Make Unconstrained Variables Non-Negative')</t>
  </si>
  <si>
    <t>MVP: Set Objective B11 = Min | By Changing B9:K9 | Constraint: L9 = 1</t>
  </si>
  <si>
    <t>ORP: Set Objective B19 = Max | By Changing B15:K15 | Constraints: L15 = 1 and B20 &gt;= 2</t>
  </si>
  <si>
    <t>OCP: Set Objective B28 = Max | By Changing B23 | Constraint: B23 &gt;= 0 (B23 &gt; 1 means borrowing at rf)</t>
  </si>
  <si>
    <t>Check: B23 should equal the closed-form y* in B30. Solver keeps one model per sheet: re-enter the objective for each run.</t>
  </si>
  <si>
    <t>Pt</t>
  </si>
  <si>
    <t>Point</t>
  </si>
  <si>
    <t>MVP</t>
  </si>
  <si>
    <t>ORP</t>
  </si>
  <si>
    <t>OCP (A=7)</t>
  </si>
  <si>
    <t>CAL start (rf)</t>
  </si>
  <si>
    <t>CAL end</t>
  </si>
  <si>
    <t>Frontier weights (cols B:K) are the min-variance solutions for each target return; return and st. dev. are recomputed from them with Excel formulas.</t>
  </si>
  <si>
    <t>Executive summary: portfolios, risk and return (estimation window Jan 2021 - Dec 2024, 48 obs)</t>
  </si>
  <si>
    <t>Asset</t>
  </si>
  <si>
    <t>OCP (Step 4c)</t>
  </si>
  <si>
    <t>OCP (Step 6b)</t>
  </si>
  <si>
    <t>E[r]</t>
  </si>
  <si>
    <t>Risk-free asset (negative = borrowing)</t>
  </si>
  <si>
    <t>rf -&gt;</t>
  </si>
  <si>
    <t>Total</t>
  </si>
  <si>
    <t>Expected return (annual)</t>
  </si>
  <si>
    <t>St. dev. (annual)</t>
  </si>
  <si>
    <t>Step 6b weights (yellow) come from the LLM (Prompt D v2) macro ridge model. Columns B-E are all evaluated with the same 2021-24 sample estimates so they are comparable.</t>
  </si>
  <si>
    <t>Step 6b per its own model (macro-ridge E[r], Ledoit-Wolf covariance, y = 1.55): return 26.4%, st. dev. 18.4%, Sharpe 1.28.</t>
  </si>
  <si>
    <t>STEP 8: $100,000 invested at the start of 2025, buy-and-hold (computed in Python: evaluate.py)</t>
  </si>
  <si>
    <t>End value ($)</t>
  </si>
  <si>
    <t>Total return 2025</t>
  </si>
  <si>
    <t>Sharpe (annualised)</t>
  </si>
  <si>
    <t>Sortino</t>
  </si>
  <si>
    <t>Treynor</t>
  </si>
  <si>
    <t>Jensen alpha vs SPY</t>
  </si>
  <si>
    <t>Beta vs SPY</t>
  </si>
  <si>
    <t>M-squared</t>
  </si>
  <si>
    <t>Max drawdown</t>
  </si>
  <si>
    <t>Information ratio vs SPY</t>
  </si>
  <si>
    <t>Caveat: 48 monthly observations is a small sample; the 12 months of 2025 are even smaller. See the report for sensitivity analysis.</t>
  </si>
  <si>
    <t>FIN3702B Investment Analysis &amp; Portfolio Management: Group Project (AY2026/27 Sem 1)</t>
  </si>
  <si>
    <t>Section number</t>
  </si>
  <si>
    <t>Group number (B#_Group#)</t>
  </si>
  <si>
    <t>Member name</t>
  </si>
  <si>
    <t>Matric number</t>
  </si>
  <si>
    <t>Colour legend</t>
  </si>
  <si>
    <t>Yellow</t>
  </si>
  <si>
    <t>Input or Solver decision variable</t>
  </si>
  <si>
    <t>Navy header</t>
  </si>
  <si>
    <t>Label</t>
  </si>
  <si>
    <t>White</t>
  </si>
  <si>
    <t>Formula (no hardcoded results in Sheets 6, 7, 8)</t>
  </si>
  <si>
    <t>Sheet index</t>
  </si>
  <si>
    <t>S1_Summary</t>
  </si>
  <si>
    <t>Portfolio mix, return, st. dev., Sharpe for MVP, ORP, OCP (4c and 6b); Step 8</t>
  </si>
  <si>
    <t>S2_MVF_Excel</t>
  </si>
  <si>
    <t>Minimum variance frontier chart built in Excel (with CAL, MVP, ORP, OCP)</t>
  </si>
  <si>
    <t>S3_MVF_AI</t>
  </si>
  <si>
    <t>Same chart generated by LLM-written Python</t>
  </si>
  <si>
    <t>S4_Prices</t>
  </si>
  <si>
    <t>Raw monthly ETF prices (Adj Close and Close)</t>
  </si>
  <si>
    <t>S5_Macro</t>
  </si>
  <si>
    <t>Fama-French data and FRED macro data</t>
  </si>
  <si>
    <t>S6_Returns</t>
  </si>
  <si>
    <t>Monthly returns, annualised return, st. dev., Sharpe (Excel formulas)</t>
  </si>
  <si>
    <t>S7_Cov</t>
  </si>
  <si>
    <t>Annualised covariance matrix (Excel formulas)</t>
  </si>
  <si>
    <t>S8_Solver</t>
  </si>
  <si>
    <t>Solver derivation of MVP, ORP, OCP</t>
  </si>
  <si>
    <t>Conventions: monthly adjusted close; Dec 2020 base so 48 returns Jan 2021 - Dec 2024; annualised return = mean x 12; st. dev. = STDEV.S x SQRT(12); rf = French RF/100, mean x 12; no short-selling; ORP needs &gt;= 2 ETFs; A = 7.</t>
  </si>
  <si>
    <t>Data: Yahoo Finance (prices), Kenneth French Data Library (RF), FRED (macro, capped at Dec 2024 for the Step 6 model).</t>
  </si>
  <si>
    <t>Caveat: 48 observations is a small sample; weights are sensitive to estimation error (see report).</t>
  </si>
  <si>
    <t>Minimum variance frontier chart generated by LLM-written Python (Prompt B; see the prompts document)</t>
  </si>
  <si>
    <t>Produced by running the LLM's code unmodified; its MVP / ORP / OCP match Sheet 8 within 1e-6.</t>
  </si>
</sst>
</file>

<file path=xl/styles.xml><?xml version="1.0" encoding="utf-8"?>
<styleSheet xmlns="http://schemas.openxmlformats.org/spreadsheetml/2006/main">
  <numFmts count="6">
    <numFmt numFmtId="164" formatCode="0.0000"/>
    <numFmt numFmtId="165" formatCode="0.00%"/>
    <numFmt numFmtId="166" formatCode="$#,##0"/>
    <numFmt numFmtId="167" formatCode="mmm-yyyy"/>
    <numFmt numFmtId="168" formatCode="0.00"/>
    <numFmt numFmtId="169" formatCode="0.000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1" xfId="0" applyNumberFormat="1" applyFill="1" applyBorder="1"/>
    <xf numFmtId="0" fontId="3" fillId="3" borderId="0" xfId="0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Minimum Variance Frontier, CAL, MVP / ORP / OCP (A = 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Minimum variance frontier</c:v>
          </c:tx>
          <c:spPr>
            <a:ln w="28575">
              <a:solidFill>
                <a:srgbClr val="1F3864"/>
              </a:solidFill>
            </a:ln>
          </c:spPr>
          <c:marker>
            <c:symbol val="none"/>
          </c:marker>
          <c:xVal>
            <c:numRef>
              <c:f>S2_MVF_Excel!$M$2:$M$81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xVal>
          <c:yVal>
            <c:numRef>
              <c:f>S2_MVF_Excel!$L$2:$L$81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</c:ser>
        <c:ser>
          <c:idx val="1"/>
          <c:order val="1"/>
          <c:tx>
            <c:v>Capital allocation line</c:v>
          </c:tx>
          <c:spPr>
            <a:ln w="2222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S2_MVF_Excel!$B$88:$B$89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S2_MVF_Excel!$C$88:$C$89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ser>
          <c:idx val="2"/>
          <c:order val="2"/>
          <c:tx>
            <c:strRef>
              <c:f>S2_MVF_Excel!$A$85</c:f>
              <c:strCache>
                <c:ptCount val="1"/>
                <c:pt idx="0">
                  <c:v>MVP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2E7D32"/>
              </a:solidFill>
              <a:ln>
                <a:solidFill>
                  <a:srgbClr val="00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SerName val="1"/>
          </c:dLbls>
          <c:xVal>
            <c:numRef>
              <c:f>S2_MVF_Excel!$B$85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S2_MVF_Excel!$C$85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"/>
          <c:order val="3"/>
          <c:tx>
            <c:strRef>
              <c:f>S2_MVF_Excel!$A$86</c:f>
              <c:strCache>
                <c:ptCount val="1"/>
                <c:pt idx="0">
                  <c:v>ORP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1"/>
            <c:spPr>
              <a:solidFill>
                <a:srgbClr val="F9A825"/>
              </a:solidFill>
              <a:ln>
                <a:solidFill>
                  <a:srgbClr val="00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SerName val="1"/>
          </c:dLbls>
          <c:xVal>
            <c:numRef>
              <c:f>S2_MVF_Excel!$B$86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S2_MVF_Excel!$C$86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"/>
          <c:order val="4"/>
          <c:tx>
            <c:strRef>
              <c:f>S2_MVF_Excel!$A$87</c:f>
              <c:strCache>
                <c:ptCount val="1"/>
                <c:pt idx="0">
                  <c:v>OCP (A=7)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1"/>
            <c:spPr>
              <a:solidFill>
                <a:srgbClr val="6A1B9A"/>
              </a:solidFill>
              <a:ln>
                <a:solidFill>
                  <a:srgbClr val="00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SerName val="1"/>
          </c:dLbls>
          <c:xVal>
            <c:numRef>
              <c:f>S2_MVF_Excel!$B$87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S2_MVF_Excel!$C$87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5"/>
          <c:order val="5"/>
          <c:tx>
            <c:v>Individual ETFs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9E9E9E"/>
              </a:solidFill>
              <a:ln>
                <a:solidFill>
                  <a:srgbClr val="616161"/>
                </a:solidFill>
              </a:ln>
            </c:spPr>
          </c:marker>
          <c:dLbls>
            <c:dLbl>
              <c:idx val="0"/>
              <c:layout/>
              <c:tx>
                <c:strRef>
                  <c:f>S2_MVF_Excel!$A$90</c:f>
                  <c:strCache>
                    <c:ptCount val="1"/>
                    <c:pt idx="0">
                      <c:v>SPY</c:v>
                    </c:pt>
                  </c:strCache>
                </c:strRef>
              </c:tx>
            </c:dLbl>
            <c:dLbl>
              <c:idx val="1"/>
              <c:layout/>
              <c:tx>
                <c:strRef>
                  <c:f>S2_MVF_Excel!$A$91</c:f>
                  <c:strCache>
                    <c:ptCount val="1"/>
                    <c:pt idx="0">
                      <c:v>IWM</c:v>
                    </c:pt>
                  </c:strCache>
                </c:strRef>
              </c:tx>
            </c:dLbl>
            <c:dLbl>
              <c:idx val="2"/>
              <c:layout/>
              <c:tx>
                <c:strRef>
                  <c:f>S2_MVF_Excel!$A$92</c:f>
                  <c:strCache>
                    <c:ptCount val="1"/>
                    <c:pt idx="0">
                      <c:v>VEA</c:v>
                    </c:pt>
                  </c:strCache>
                </c:strRef>
              </c:tx>
            </c:dLbl>
            <c:dLbl>
              <c:idx val="3"/>
              <c:layout/>
              <c:tx>
                <c:strRef>
                  <c:f>S2_MVF_Excel!$A$93</c:f>
                  <c:strCache>
                    <c:ptCount val="1"/>
                    <c:pt idx="0">
                      <c:v>VWO</c:v>
                    </c:pt>
                  </c:strCache>
                </c:strRef>
              </c:tx>
            </c:dLbl>
            <c:dLbl>
              <c:idx val="4"/>
              <c:layout/>
              <c:tx>
                <c:strRef>
                  <c:f>S2_MVF_Excel!$A$94</c:f>
                  <c:strCache>
                    <c:ptCount val="1"/>
                    <c:pt idx="0">
                      <c:v>XLE</c:v>
                    </c:pt>
                  </c:strCache>
                </c:strRef>
              </c:tx>
            </c:dLbl>
            <c:dLbl>
              <c:idx val="5"/>
              <c:layout/>
              <c:tx>
                <c:strRef>
                  <c:f>S2_MVF_Excel!$A$95</c:f>
                  <c:strCache>
                    <c:ptCount val="1"/>
                    <c:pt idx="0">
                      <c:v>QQQ</c:v>
                    </c:pt>
                  </c:strCache>
                </c:strRef>
              </c:tx>
            </c:dLbl>
            <c:dLbl>
              <c:idx val="6"/>
              <c:layout/>
              <c:tx>
                <c:strRef>
                  <c:f>S2_MVF_Excel!$A$96</c:f>
                  <c:strCache>
                    <c:ptCount val="1"/>
                    <c:pt idx="0">
                      <c:v>AGG</c:v>
                    </c:pt>
                  </c:strCache>
                </c:strRef>
              </c:tx>
            </c:dLbl>
            <c:dLbl>
              <c:idx val="7"/>
              <c:layout/>
              <c:tx>
                <c:strRef>
                  <c:f>S2_MVF_Excel!$A$97</c:f>
                  <c:strCache>
                    <c:ptCount val="1"/>
                    <c:pt idx="0">
                      <c:v>TIP</c:v>
                    </c:pt>
                  </c:strCache>
                </c:strRef>
              </c:tx>
            </c:dLbl>
            <c:dLbl>
              <c:idx val="8"/>
              <c:layout/>
              <c:tx>
                <c:strRef>
                  <c:f>S2_MVF_Excel!$A$98</c:f>
                  <c:strCache>
                    <c:ptCount val="1"/>
                    <c:pt idx="0">
                      <c:v>HYG</c:v>
                    </c:pt>
                  </c:strCache>
                </c:strRef>
              </c:tx>
            </c:dLbl>
            <c:dLbl>
              <c:idx val="9"/>
              <c:layout/>
              <c:tx>
                <c:strRef>
                  <c:f>S2_MVF_Excel!$A$99</c:f>
                  <c:strCache>
                    <c:ptCount val="1"/>
                    <c:pt idx="0">
                      <c:v>GLD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800" baseline="0">
                    <a:solidFill>
                      <a:srgbClr val="616161"/>
                    </a:solidFill>
                  </a:defRPr>
                </a:pPr>
                <a:endParaRPr lang="en-US"/>
              </a:p>
            </c:txPr>
          </c:dLbls>
          <c:xVal>
            <c:numRef>
              <c:f>S2_MVF_Excel!$B$90:$B$99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S2_MVF_Excel!$C$90:$C$99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Annualised standard deviation</a:t>
                </a:r>
              </a:p>
            </c:rich>
          </c:tx>
          <c:layout/>
        </c:title>
        <c:numFmt formatCode="0%" sourceLinked="0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Annualised return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midCat"/>
      </c:valAx>
    </c:plotArea>
    <c:legend>
      <c:legendPos val="b"/>
      <c:legendEntry>
        <c:idx val="5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29</xdr:col>
      <xdr:colOff>190500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6</xdr:col>
      <xdr:colOff>566936</xdr:colOff>
      <xdr:row>18</xdr:row>
      <xdr:rowOff>22866</xdr:rowOff>
    </xdr:to>
    <xdr:pic>
      <xdr:nvPicPr>
        <xdr:cNvPr id="2" name="Picture 1" descr="mvf_a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4224536" cy="2880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1" width="28.7109375" customWidth="1"/>
    <col min="2" max="2" width="60.7109375" customWidth="1"/>
  </cols>
  <sheetData>
    <row r="1" spans="1:2">
      <c r="A1" s="1" t="s">
        <v>93</v>
      </c>
    </row>
    <row r="3" spans="1:2">
      <c r="A3" s="2" t="s">
        <v>94</v>
      </c>
      <c r="B3" s="3"/>
    </row>
    <row r="4" spans="1:2">
      <c r="A4" s="2" t="s">
        <v>95</v>
      </c>
      <c r="B4" s="3"/>
    </row>
    <row r="6" spans="1:2">
      <c r="A6" s="4" t="s">
        <v>96</v>
      </c>
      <c r="B6" s="4" t="s">
        <v>97</v>
      </c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4" spans="1:2">
      <c r="A14" s="2" t="s">
        <v>98</v>
      </c>
    </row>
    <row r="15" spans="1:2">
      <c r="A15" s="3" t="s">
        <v>99</v>
      </c>
      <c r="B15" t="s">
        <v>100</v>
      </c>
    </row>
    <row r="16" spans="1:2">
      <c r="A16" s="4" t="s">
        <v>101</v>
      </c>
      <c r="B16" t="s">
        <v>102</v>
      </c>
    </row>
    <row r="17" spans="1:2">
      <c r="A17" t="s">
        <v>103</v>
      </c>
      <c r="B17" t="s">
        <v>104</v>
      </c>
    </row>
    <row r="19" spans="1:2">
      <c r="A19" s="2" t="s">
        <v>105</v>
      </c>
    </row>
    <row r="20" spans="1:2">
      <c r="A20" t="s">
        <v>106</v>
      </c>
      <c r="B20" t="s">
        <v>107</v>
      </c>
    </row>
    <row r="21" spans="1:2">
      <c r="A21" t="s">
        <v>108</v>
      </c>
      <c r="B21" t="s">
        <v>109</v>
      </c>
    </row>
    <row r="22" spans="1:2">
      <c r="A22" t="s">
        <v>110</v>
      </c>
      <c r="B22" t="s">
        <v>111</v>
      </c>
    </row>
    <row r="23" spans="1:2">
      <c r="A23" t="s">
        <v>112</v>
      </c>
      <c r="B23" t="s">
        <v>113</v>
      </c>
    </row>
    <row r="24" spans="1:2">
      <c r="A24" t="s">
        <v>114</v>
      </c>
      <c r="B24" t="s">
        <v>115</v>
      </c>
    </row>
    <row r="25" spans="1:2">
      <c r="A25" t="s">
        <v>116</v>
      </c>
      <c r="B25" t="s">
        <v>117</v>
      </c>
    </row>
    <row r="26" spans="1:2">
      <c r="A26" t="s">
        <v>118</v>
      </c>
      <c r="B26" t="s">
        <v>119</v>
      </c>
    </row>
    <row r="27" spans="1:2">
      <c r="A27" t="s">
        <v>120</v>
      </c>
      <c r="B27" t="s">
        <v>121</v>
      </c>
    </row>
    <row r="30" spans="1:2">
      <c r="A30" t="s">
        <v>122</v>
      </c>
    </row>
    <row r="31" spans="1:2">
      <c r="A31" t="s">
        <v>123</v>
      </c>
    </row>
    <row r="32" spans="1:2">
      <c r="A32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34.7109375" customWidth="1"/>
    <col min="2" max="8" width="15.7109375" customWidth="1"/>
  </cols>
  <sheetData>
    <row r="1" spans="1:7">
      <c r="A1" s="1" t="s">
        <v>69</v>
      </c>
    </row>
    <row r="3" spans="1:7">
      <c r="A3" s="4" t="s">
        <v>70</v>
      </c>
      <c r="B3" s="4" t="s">
        <v>63</v>
      </c>
      <c r="C3" s="4" t="s">
        <v>64</v>
      </c>
      <c r="D3" s="4" t="s">
        <v>71</v>
      </c>
      <c r="E3" s="4" t="s">
        <v>72</v>
      </c>
      <c r="G3" s="4" t="s">
        <v>73</v>
      </c>
    </row>
    <row r="4" spans="1:7">
      <c r="A4" s="2" t="s">
        <v>1</v>
      </c>
      <c r="B4" s="5">
        <f>S8_Solver!B9</f>
        <v>0</v>
      </c>
      <c r="C4" s="5">
        <f>S8_Solver!B15</f>
        <v>0</v>
      </c>
      <c r="D4" s="5">
        <f>S8_Solver!B24</f>
        <v>0</v>
      </c>
      <c r="E4" s="3">
        <v>1.879155438746673E-15</v>
      </c>
      <c r="G4" s="5">
        <f>S8_Solver!B4</f>
        <v>0</v>
      </c>
    </row>
    <row r="5" spans="1:7">
      <c r="A5" s="2" t="s">
        <v>2</v>
      </c>
      <c r="B5" s="5">
        <f>S8_Solver!C9</f>
        <v>0</v>
      </c>
      <c r="C5" s="5">
        <f>S8_Solver!C15</f>
        <v>0</v>
      </c>
      <c r="D5" s="5">
        <f>S8_Solver!C24</f>
        <v>0</v>
      </c>
      <c r="E5" s="3">
        <v>0</v>
      </c>
      <c r="G5" s="5">
        <f>S8_Solver!C4</f>
        <v>0</v>
      </c>
    </row>
    <row r="6" spans="1:7">
      <c r="A6" s="2" t="s">
        <v>3</v>
      </c>
      <c r="B6" s="5">
        <f>S8_Solver!D9</f>
        <v>0</v>
      </c>
      <c r="C6" s="5">
        <f>S8_Solver!D15</f>
        <v>0</v>
      </c>
      <c r="D6" s="5">
        <f>S8_Solver!D24</f>
        <v>0</v>
      </c>
      <c r="E6" s="3">
        <v>0</v>
      </c>
      <c r="G6" s="5">
        <f>S8_Solver!D4</f>
        <v>0</v>
      </c>
    </row>
    <row r="7" spans="1:7">
      <c r="A7" s="2" t="s">
        <v>4</v>
      </c>
      <c r="B7" s="5">
        <f>S8_Solver!E9</f>
        <v>0</v>
      </c>
      <c r="C7" s="5">
        <f>S8_Solver!E15</f>
        <v>0</v>
      </c>
      <c r="D7" s="5">
        <f>S8_Solver!E24</f>
        <v>0</v>
      </c>
      <c r="E7" s="3">
        <v>0</v>
      </c>
      <c r="G7" s="5">
        <f>S8_Solver!E4</f>
        <v>0</v>
      </c>
    </row>
    <row r="8" spans="1:7">
      <c r="A8" s="2" t="s">
        <v>5</v>
      </c>
      <c r="B8" s="5">
        <f>S8_Solver!F9</f>
        <v>0</v>
      </c>
      <c r="C8" s="5">
        <f>S8_Solver!F15</f>
        <v>0</v>
      </c>
      <c r="D8" s="5">
        <f>S8_Solver!F24</f>
        <v>0</v>
      </c>
      <c r="E8" s="3">
        <v>0.4032252873915861</v>
      </c>
      <c r="G8" s="5">
        <f>S8_Solver!F4</f>
        <v>0</v>
      </c>
    </row>
    <row r="9" spans="1:7">
      <c r="A9" s="2" t="s">
        <v>6</v>
      </c>
      <c r="B9" s="5">
        <f>S8_Solver!G9</f>
        <v>0</v>
      </c>
      <c r="C9" s="5">
        <f>S8_Solver!G15</f>
        <v>0</v>
      </c>
      <c r="D9" s="5">
        <f>S8_Solver!G24</f>
        <v>0</v>
      </c>
      <c r="E9" s="3">
        <v>0.5394534608230356</v>
      </c>
      <c r="G9" s="5">
        <f>S8_Solver!G4</f>
        <v>0</v>
      </c>
    </row>
    <row r="10" spans="1:7">
      <c r="A10" s="2" t="s">
        <v>7</v>
      </c>
      <c r="B10" s="5">
        <f>S8_Solver!H9</f>
        <v>0</v>
      </c>
      <c r="C10" s="5">
        <f>S8_Solver!H15</f>
        <v>0</v>
      </c>
      <c r="D10" s="5">
        <f>S8_Solver!H24</f>
        <v>0</v>
      </c>
      <c r="E10" s="3">
        <v>6.190867387730185E-16</v>
      </c>
      <c r="G10" s="5">
        <f>S8_Solver!H4</f>
        <v>0</v>
      </c>
    </row>
    <row r="11" spans="1:7">
      <c r="A11" s="2" t="s">
        <v>8</v>
      </c>
      <c r="B11" s="5">
        <f>S8_Solver!I9</f>
        <v>0</v>
      </c>
      <c r="C11" s="5">
        <f>S8_Solver!I15</f>
        <v>0</v>
      </c>
      <c r="D11" s="5">
        <f>S8_Solver!I24</f>
        <v>0</v>
      </c>
      <c r="E11" s="3">
        <v>0</v>
      </c>
      <c r="G11" s="5">
        <f>S8_Solver!I4</f>
        <v>0</v>
      </c>
    </row>
    <row r="12" spans="1:7">
      <c r="A12" s="2" t="s">
        <v>9</v>
      </c>
      <c r="B12" s="5">
        <f>S8_Solver!J9</f>
        <v>0</v>
      </c>
      <c r="C12" s="5">
        <f>S8_Solver!J15</f>
        <v>0</v>
      </c>
      <c r="D12" s="5">
        <f>S8_Solver!J24</f>
        <v>0</v>
      </c>
      <c r="E12" s="3">
        <v>0</v>
      </c>
      <c r="G12" s="5">
        <f>S8_Solver!J4</f>
        <v>0</v>
      </c>
    </row>
    <row r="13" spans="1:7">
      <c r="A13" s="2" t="s">
        <v>10</v>
      </c>
      <c r="B13" s="5">
        <f>S8_Solver!K9</f>
        <v>0</v>
      </c>
      <c r="C13" s="5">
        <f>S8_Solver!K15</f>
        <v>0</v>
      </c>
      <c r="D13" s="5">
        <f>S8_Solver!K24</f>
        <v>0</v>
      </c>
      <c r="E13" s="3">
        <v>0.6109579692725975</v>
      </c>
      <c r="G13" s="5">
        <f>S8_Solver!K4</f>
        <v>0</v>
      </c>
    </row>
    <row r="14" spans="1:7">
      <c r="A14" s="2" t="s">
        <v>74</v>
      </c>
      <c r="B14" s="5">
        <v>0</v>
      </c>
      <c r="C14" s="5">
        <v>0</v>
      </c>
      <c r="D14" s="5">
        <f>S8_Solver!B25</f>
        <v>0</v>
      </c>
      <c r="E14" s="5">
        <f>1-SUM(E4:E13)</f>
        <v>0</v>
      </c>
      <c r="F14" s="2" t="s">
        <v>75</v>
      </c>
      <c r="G14" s="5">
        <f>S8_Solver!B6</f>
        <v>0</v>
      </c>
    </row>
    <row r="15" spans="1:7">
      <c r="A15" s="2" t="s">
        <v>76</v>
      </c>
      <c r="B15" s="5">
        <f>SUM(B4:B14)</f>
        <v>0</v>
      </c>
      <c r="C15" s="5">
        <f>SUM(C4:C14)</f>
        <v>0</v>
      </c>
      <c r="D15" s="5">
        <f>SUM(D4:D14)</f>
        <v>0</v>
      </c>
      <c r="E15" s="5">
        <f>SUM(E4:E14)</f>
        <v>0</v>
      </c>
    </row>
    <row r="17" spans="1:5">
      <c r="A17" s="2" t="s">
        <v>77</v>
      </c>
      <c r="B17" s="5">
        <f>SUMPRODUCT(B4:B13,$G$4:$G$13)+B14*$G$14</f>
        <v>0</v>
      </c>
      <c r="C17" s="5">
        <f>SUMPRODUCT(C4:C13,$G$4:$G$13)+C14*$G$14</f>
        <v>0</v>
      </c>
      <c r="D17" s="5">
        <f>SUMPRODUCT(D4:D13,$G$4:$G$13)+D14*$G$14</f>
        <v>0</v>
      </c>
      <c r="E17" s="5">
        <f>SUMPRODUCT(E4:E13,$G$4:$G$13)+E14*$G$14</f>
        <v>0</v>
      </c>
    </row>
    <row r="18" spans="1:5">
      <c r="A18" s="2" t="s">
        <v>78</v>
      </c>
      <c r="B18" s="5">
        <f>SQRT(SUMPRODUCT(MMULT(S7_Cov!$B$2:$K$11,B4:B13),B4:B13))</f>
        <v>0</v>
      </c>
      <c r="C18" s="5">
        <f>SQRT(SUMPRODUCT(MMULT(S7_Cov!$B$2:$K$11,C4:C13),C4:C13))</f>
        <v>0</v>
      </c>
      <c r="D18" s="5">
        <f>SQRT(SUMPRODUCT(MMULT(S7_Cov!$B$2:$K$11,D4:D13),D4:D13))</f>
        <v>0</v>
      </c>
      <c r="E18" s="5">
        <f>SQRT(SUMPRODUCT(MMULT(S7_Cov!$B$2:$K$11,E4:E13),E4:E13))</f>
        <v>0</v>
      </c>
    </row>
    <row r="19" spans="1:5">
      <c r="A19" s="2" t="s">
        <v>29</v>
      </c>
      <c r="B19" s="6">
        <f>(B17-$G$14)/B18</f>
        <v>0</v>
      </c>
      <c r="C19" s="6">
        <f>(C17-$G$14)/C18</f>
        <v>0</v>
      </c>
      <c r="D19" s="6">
        <f>(D17-$G$14)/D18</f>
        <v>0</v>
      </c>
      <c r="E19" s="6">
        <f>(E17-$G$14)/E18</f>
        <v>0</v>
      </c>
    </row>
    <row r="20" spans="1:5">
      <c r="A20" t="s">
        <v>79</v>
      </c>
    </row>
    <row r="21" spans="1:5">
      <c r="A21" t="s">
        <v>80</v>
      </c>
    </row>
    <row r="22" spans="1:5">
      <c r="A22" s="1" t="s">
        <v>81</v>
      </c>
    </row>
    <row r="23" spans="1:5">
      <c r="D23" s="4" t="s">
        <v>71</v>
      </c>
      <c r="E23" s="4" t="s">
        <v>72</v>
      </c>
    </row>
    <row r="24" spans="1:5">
      <c r="A24" s="2" t="s">
        <v>82</v>
      </c>
      <c r="D24" s="7">
        <v>139238.4805510766</v>
      </c>
      <c r="E24" s="7">
        <v>150932.1345669874</v>
      </c>
    </row>
    <row r="25" spans="1:5">
      <c r="A25" s="2" t="s">
        <v>83</v>
      </c>
      <c r="D25" s="5">
        <v>0.3923848055107664</v>
      </c>
      <c r="E25" s="5">
        <v>0.5093213456698742</v>
      </c>
    </row>
    <row r="26" spans="1:5">
      <c r="A26" s="2" t="s">
        <v>84</v>
      </c>
      <c r="D26" s="6">
        <v>3.295527515364387</v>
      </c>
      <c r="E26" s="6">
        <v>3.818250135198884</v>
      </c>
    </row>
    <row r="27" spans="1:5">
      <c r="A27" s="2" t="s">
        <v>85</v>
      </c>
      <c r="D27" s="6">
        <v>8.07913438748972</v>
      </c>
      <c r="E27" s="6">
        <v>20.19295649162492</v>
      </c>
    </row>
    <row r="28" spans="1:5">
      <c r="A28" s="2" t="s">
        <v>86</v>
      </c>
      <c r="D28" s="6">
        <v>1.413089302003521</v>
      </c>
      <c r="E28" s="6">
        <v>0.8633235996677192</v>
      </c>
    </row>
    <row r="29" spans="1:5">
      <c r="A29" s="2" t="s">
        <v>87</v>
      </c>
      <c r="D29" s="5">
        <v>0.2706377699726358</v>
      </c>
      <c r="E29" s="5">
        <v>0.3249097404512045</v>
      </c>
    </row>
    <row r="30" spans="1:5">
      <c r="A30" s="2" t="s">
        <v>88</v>
      </c>
      <c r="D30" s="6">
        <v>0.2106081683342688</v>
      </c>
      <c r="E30" s="6">
        <v>0.4418952953715368</v>
      </c>
    </row>
    <row r="31" spans="1:5">
      <c r="A31" s="2" t="s">
        <v>89</v>
      </c>
      <c r="D31" s="5">
        <v>0.4034229666505872</v>
      </c>
      <c r="E31" s="5">
        <v>0.4607979319331922</v>
      </c>
    </row>
    <row r="32" spans="1:5">
      <c r="A32" s="2" t="s">
        <v>90</v>
      </c>
      <c r="D32" s="5">
        <v>-0.03333663809931775</v>
      </c>
      <c r="E32" s="5">
        <v>-0.01539265879588325</v>
      </c>
    </row>
    <row r="33" spans="1:5">
      <c r="A33" s="2" t="s">
        <v>91</v>
      </c>
      <c r="D33" s="6">
        <v>1.380092951359295</v>
      </c>
      <c r="E33" s="6">
        <v>2.378226415190825</v>
      </c>
    </row>
    <row r="35" spans="1:5">
      <c r="A3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cols>
    <col min="1" max="1" width="14.7109375" customWidth="1"/>
    <col min="2" max="13" width="9.7109375" customWidth="1"/>
  </cols>
  <sheetData>
    <row r="1" spans="1:13">
      <c r="A1" s="4" t="s">
        <v>61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41</v>
      </c>
      <c r="M1" s="4" t="s">
        <v>43</v>
      </c>
    </row>
    <row r="2" spans="1:13">
      <c r="A2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1</v>
      </c>
      <c r="I2" s="6">
        <v>0</v>
      </c>
      <c r="J2" s="6">
        <v>0</v>
      </c>
      <c r="K2" s="6">
        <v>0</v>
      </c>
      <c r="L2" s="5">
        <f>SUMPRODUCT(B2:K2,S8_Solver!$B$4:$K$4)</f>
        <v>0</v>
      </c>
      <c r="M2" s="5">
        <f>SQRT(SUMPRODUCT(MMULT(B2:K2,S7_Cov!$B$2:$K$11),B2:K2))</f>
        <v>0</v>
      </c>
    </row>
    <row r="3" spans="1:13">
      <c r="A3">
        <v>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0.770154584156483</v>
      </c>
      <c r="I3" s="6">
        <v>0.2298454158435171</v>
      </c>
      <c r="J3" s="6">
        <v>0</v>
      </c>
      <c r="K3" s="6">
        <v>0</v>
      </c>
      <c r="L3" s="5">
        <f>SUMPRODUCT(B3:K3,S8_Solver!$B$4:$K$4)</f>
        <v>0</v>
      </c>
      <c r="M3" s="5">
        <f>SQRT(SUMPRODUCT(MMULT(B3:K3,S7_Cov!$B$2:$K$11),B3:K3))</f>
        <v>0</v>
      </c>
    </row>
    <row r="4" spans="1:13">
      <c r="A4">
        <v>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0.5403091683129658</v>
      </c>
      <c r="I4" s="6">
        <v>0.4596908316870342</v>
      </c>
      <c r="J4" s="6">
        <v>0</v>
      </c>
      <c r="K4" s="6">
        <v>0</v>
      </c>
      <c r="L4" s="5">
        <f>SUMPRODUCT(B4:K4,S8_Solver!$B$4:$K$4)</f>
        <v>0</v>
      </c>
      <c r="M4" s="5">
        <f>SQRT(SUMPRODUCT(MMULT(B4:K4,S7_Cov!$B$2:$K$11),B4:K4))</f>
        <v>0</v>
      </c>
    </row>
    <row r="5" spans="1:13">
      <c r="A5">
        <v>4</v>
      </c>
      <c r="B5" s="6">
        <v>0</v>
      </c>
      <c r="C5" s="6">
        <v>0</v>
      </c>
      <c r="D5" s="6">
        <v>0</v>
      </c>
      <c r="E5" s="6">
        <v>0</v>
      </c>
      <c r="F5" s="6">
        <v>0.005983188527690119</v>
      </c>
      <c r="G5" s="6">
        <v>0</v>
      </c>
      <c r="H5" s="6">
        <v>0.4131220319038699</v>
      </c>
      <c r="I5" s="6">
        <v>0.58089477956844</v>
      </c>
      <c r="J5" s="6">
        <v>0</v>
      </c>
      <c r="K5" s="6">
        <v>0</v>
      </c>
      <c r="L5" s="5">
        <f>SUMPRODUCT(B5:K5,S8_Solver!$B$4:$K$4)</f>
        <v>0</v>
      </c>
      <c r="M5" s="5">
        <f>SQRT(SUMPRODUCT(MMULT(B5:K5,S7_Cov!$B$2:$K$11),B5:K5))</f>
        <v>0</v>
      </c>
    </row>
    <row r="6" spans="1:13">
      <c r="A6">
        <v>5</v>
      </c>
      <c r="B6" s="6">
        <v>0</v>
      </c>
      <c r="C6" s="6">
        <v>0</v>
      </c>
      <c r="D6" s="6">
        <v>0</v>
      </c>
      <c r="E6" s="6">
        <v>0</v>
      </c>
      <c r="F6" s="6">
        <v>0.01438170455347184</v>
      </c>
      <c r="G6" s="6">
        <v>0</v>
      </c>
      <c r="H6" s="6">
        <v>0.3938768953613067</v>
      </c>
      <c r="I6" s="6">
        <v>0.5793253442831408</v>
      </c>
      <c r="J6" s="6">
        <v>0</v>
      </c>
      <c r="K6" s="6">
        <v>0.01241605580208072</v>
      </c>
      <c r="L6" s="5">
        <f>SUMPRODUCT(B6:K6,S8_Solver!$B$4:$K$4)</f>
        <v>0</v>
      </c>
      <c r="M6" s="5">
        <f>SQRT(SUMPRODUCT(MMULT(B6:K6,S7_Cov!$B$2:$K$11),B6:K6))</f>
        <v>0</v>
      </c>
    </row>
    <row r="7" spans="1:13">
      <c r="A7">
        <v>6</v>
      </c>
      <c r="B7" s="6">
        <v>0</v>
      </c>
      <c r="C7" s="6">
        <v>0</v>
      </c>
      <c r="D7" s="6">
        <v>0</v>
      </c>
      <c r="E7" s="6">
        <v>0</v>
      </c>
      <c r="F7" s="6">
        <v>0.02213479763401384</v>
      </c>
      <c r="G7" s="6">
        <v>0</v>
      </c>
      <c r="H7" s="6">
        <v>0.3754699969914602</v>
      </c>
      <c r="I7" s="6">
        <v>0.5753389935088512</v>
      </c>
      <c r="J7" s="6">
        <v>0</v>
      </c>
      <c r="K7" s="6">
        <v>0.02705621186567478</v>
      </c>
      <c r="L7" s="5">
        <f>SUMPRODUCT(B7:K7,S8_Solver!$B$4:$K$4)</f>
        <v>0</v>
      </c>
      <c r="M7" s="5">
        <f>SQRT(SUMPRODUCT(MMULT(B7:K7,S7_Cov!$B$2:$K$11),B7:K7))</f>
        <v>0</v>
      </c>
    </row>
    <row r="8" spans="1:13">
      <c r="A8">
        <v>7</v>
      </c>
      <c r="B8" s="6">
        <v>0</v>
      </c>
      <c r="C8" s="6">
        <v>0</v>
      </c>
      <c r="D8" s="6">
        <v>0</v>
      </c>
      <c r="E8" s="6">
        <v>0</v>
      </c>
      <c r="F8" s="6">
        <v>0.02988788967516651</v>
      </c>
      <c r="G8" s="6">
        <v>0</v>
      </c>
      <c r="H8" s="6">
        <v>0.3570630726141061</v>
      </c>
      <c r="I8" s="6">
        <v>0.5713526713081457</v>
      </c>
      <c r="J8" s="6">
        <v>0</v>
      </c>
      <c r="K8" s="6">
        <v>0.0416963664025817</v>
      </c>
      <c r="L8" s="5">
        <f>SUMPRODUCT(B8:K8,S8_Solver!$B$4:$K$4)</f>
        <v>0</v>
      </c>
      <c r="M8" s="5">
        <f>SQRT(SUMPRODUCT(MMULT(B8:K8,S7_Cov!$B$2:$K$11),B8:K8))</f>
        <v>0</v>
      </c>
    </row>
    <row r="9" spans="1:13">
      <c r="A9">
        <v>8</v>
      </c>
      <c r="B9" s="6">
        <v>0</v>
      </c>
      <c r="C9" s="6">
        <v>0</v>
      </c>
      <c r="D9" s="6">
        <v>0</v>
      </c>
      <c r="E9" s="6">
        <v>0</v>
      </c>
      <c r="F9" s="6">
        <v>0.03764096320096197</v>
      </c>
      <c r="G9" s="6">
        <v>0</v>
      </c>
      <c r="H9" s="6">
        <v>0.3386561345735169</v>
      </c>
      <c r="I9" s="6">
        <v>0.5673663245224416</v>
      </c>
      <c r="J9" s="6">
        <v>0</v>
      </c>
      <c r="K9" s="6">
        <v>0.05633657770307959</v>
      </c>
      <c r="L9" s="5">
        <f>SUMPRODUCT(B9:K9,S8_Solver!$B$4:$K$4)</f>
        <v>0</v>
      </c>
      <c r="M9" s="5">
        <f>SQRT(SUMPRODUCT(MMULT(B9:K9,S7_Cov!$B$2:$K$11),B9:K9))</f>
        <v>0</v>
      </c>
    </row>
    <row r="10" spans="1:13">
      <c r="A10">
        <v>9</v>
      </c>
      <c r="B10" s="6">
        <v>0</v>
      </c>
      <c r="C10" s="6">
        <v>0</v>
      </c>
      <c r="D10" s="6">
        <v>0</v>
      </c>
      <c r="E10" s="6">
        <v>0</v>
      </c>
      <c r="F10" s="6">
        <v>0.04539407605528886</v>
      </c>
      <c r="G10" s="6">
        <v>0</v>
      </c>
      <c r="H10" s="6">
        <v>0.3202492688164452</v>
      </c>
      <c r="I10" s="6">
        <v>0.5633799786166416</v>
      </c>
      <c r="J10" s="6">
        <v>0</v>
      </c>
      <c r="K10" s="6">
        <v>0.07097667651162427</v>
      </c>
      <c r="L10" s="5">
        <f>SUMPRODUCT(B10:K10,S8_Solver!$B$4:$K$4)</f>
        <v>0</v>
      </c>
      <c r="M10" s="5">
        <f>SQRT(SUMPRODUCT(MMULT(B10:K10,S7_Cov!$B$2:$K$11),B10:K10))</f>
        <v>0</v>
      </c>
    </row>
    <row r="11" spans="1:13">
      <c r="A11">
        <v>10</v>
      </c>
      <c r="B11" s="6">
        <v>0</v>
      </c>
      <c r="C11" s="6">
        <v>0</v>
      </c>
      <c r="D11" s="6">
        <v>0</v>
      </c>
      <c r="E11" s="6">
        <v>0</v>
      </c>
      <c r="F11" s="6">
        <v>0.05314716765800714</v>
      </c>
      <c r="G11" s="6">
        <v>0</v>
      </c>
      <c r="H11" s="6">
        <v>0.3018423280422245</v>
      </c>
      <c r="I11" s="6">
        <v>0.5593936749075423</v>
      </c>
      <c r="J11" s="6">
        <v>0</v>
      </c>
      <c r="K11" s="6">
        <v>0.08561682939222615</v>
      </c>
      <c r="L11" s="5">
        <f>SUMPRODUCT(B11:K11,S8_Solver!$B$4:$K$4)</f>
        <v>0</v>
      </c>
      <c r="M11" s="5">
        <f>SQRT(SUMPRODUCT(MMULT(B11:K11,S7_Cov!$B$2:$K$11),B11:K11))</f>
        <v>0</v>
      </c>
    </row>
    <row r="12" spans="1:13">
      <c r="A12">
        <v>11</v>
      </c>
      <c r="B12" s="6">
        <v>0</v>
      </c>
      <c r="C12" s="6">
        <v>0</v>
      </c>
      <c r="D12" s="6">
        <v>0</v>
      </c>
      <c r="E12" s="6">
        <v>0</v>
      </c>
      <c r="F12" s="6">
        <v>0.06090026200386174</v>
      </c>
      <c r="G12" s="6">
        <v>0</v>
      </c>
      <c r="H12" s="6">
        <v>0.2834354249689302</v>
      </c>
      <c r="I12" s="6">
        <v>0.5554073325023895</v>
      </c>
      <c r="J12" s="6">
        <v>0</v>
      </c>
      <c r="K12" s="6">
        <v>0.1002569805248185</v>
      </c>
      <c r="L12" s="5">
        <f>SUMPRODUCT(B12:K12,S8_Solver!$B$4:$K$4)</f>
        <v>0</v>
      </c>
      <c r="M12" s="5">
        <f>SQRT(SUMPRODUCT(MMULT(B12:K12,S7_Cov!$B$2:$K$11),B12:K12))</f>
        <v>0</v>
      </c>
    </row>
    <row r="13" spans="1:13">
      <c r="A13">
        <v>12</v>
      </c>
      <c r="B13" s="6">
        <v>0</v>
      </c>
      <c r="C13" s="6">
        <v>0</v>
      </c>
      <c r="D13" s="6">
        <v>0</v>
      </c>
      <c r="E13" s="6">
        <v>0</v>
      </c>
      <c r="F13" s="6">
        <v>0.06865335384846255</v>
      </c>
      <c r="G13" s="6">
        <v>0</v>
      </c>
      <c r="H13" s="6">
        <v>0.2650285211053228</v>
      </c>
      <c r="I13" s="6">
        <v>0.5514209855228639</v>
      </c>
      <c r="J13" s="6">
        <v>0</v>
      </c>
      <c r="K13" s="6">
        <v>0.1148971395233509</v>
      </c>
      <c r="L13" s="5">
        <f>SUMPRODUCT(B13:K13,S8_Solver!$B$4:$K$4)</f>
        <v>0</v>
      </c>
      <c r="M13" s="5">
        <f>SQRT(SUMPRODUCT(MMULT(B13:K13,S7_Cov!$B$2:$K$11),B13:K13))</f>
        <v>0</v>
      </c>
    </row>
    <row r="14" spans="1:13">
      <c r="A14">
        <v>13</v>
      </c>
      <c r="B14" s="6">
        <v>0</v>
      </c>
      <c r="C14" s="6">
        <v>0</v>
      </c>
      <c r="D14" s="6">
        <v>0</v>
      </c>
      <c r="E14" s="6">
        <v>0</v>
      </c>
      <c r="F14" s="6">
        <v>0.07640644701389004</v>
      </c>
      <c r="G14" s="6">
        <v>0</v>
      </c>
      <c r="H14" s="6">
        <v>0.2466216159716484</v>
      </c>
      <c r="I14" s="6">
        <v>0.5474346429618674</v>
      </c>
      <c r="J14" s="6">
        <v>0</v>
      </c>
      <c r="K14" s="6">
        <v>0.1295372940525942</v>
      </c>
      <c r="L14" s="5">
        <f>SUMPRODUCT(B14:K14,S8_Solver!$B$4:$K$4)</f>
        <v>0</v>
      </c>
      <c r="M14" s="5">
        <f>SQRT(SUMPRODUCT(MMULT(B14:K14,S7_Cov!$B$2:$K$11),B14:K14))</f>
        <v>0</v>
      </c>
    </row>
    <row r="15" spans="1:13">
      <c r="A15">
        <v>14</v>
      </c>
      <c r="B15" s="6">
        <v>0</v>
      </c>
      <c r="C15" s="6">
        <v>0</v>
      </c>
      <c r="D15" s="6">
        <v>0</v>
      </c>
      <c r="E15" s="6">
        <v>0</v>
      </c>
      <c r="F15" s="6">
        <v>0.08415953827129811</v>
      </c>
      <c r="G15" s="6">
        <v>0</v>
      </c>
      <c r="H15" s="6">
        <v>0.2282146654119238</v>
      </c>
      <c r="I15" s="6">
        <v>0.5434483501039663</v>
      </c>
      <c r="J15" s="6">
        <v>0</v>
      </c>
      <c r="K15" s="6">
        <v>0.144177446212812</v>
      </c>
      <c r="L15" s="5">
        <f>SUMPRODUCT(B15:K15,S8_Solver!$B$4:$K$4)</f>
        <v>0</v>
      </c>
      <c r="M15" s="5">
        <f>SQRT(SUMPRODUCT(MMULT(B15:K15,S7_Cov!$B$2:$K$11),B15:K15))</f>
        <v>0</v>
      </c>
    </row>
    <row r="16" spans="1:13">
      <c r="A16">
        <v>15</v>
      </c>
      <c r="B16" s="6">
        <v>0</v>
      </c>
      <c r="C16" s="6">
        <v>0</v>
      </c>
      <c r="D16" s="6">
        <v>0</v>
      </c>
      <c r="E16" s="6">
        <v>0</v>
      </c>
      <c r="F16" s="6">
        <v>0.09191263204950549</v>
      </c>
      <c r="G16" s="6">
        <v>0</v>
      </c>
      <c r="H16" s="6">
        <v>0.2098077848739433</v>
      </c>
      <c r="I16" s="6">
        <v>0.5394619797053287</v>
      </c>
      <c r="J16" s="6">
        <v>0</v>
      </c>
      <c r="K16" s="6">
        <v>0.1588176033712226</v>
      </c>
      <c r="L16" s="5">
        <f>SUMPRODUCT(B16:K16,S8_Solver!$B$4:$K$4)</f>
        <v>0</v>
      </c>
      <c r="M16" s="5">
        <f>SQRT(SUMPRODUCT(MMULT(B16:K16,S7_Cov!$B$2:$K$11),B16:K16))</f>
        <v>0</v>
      </c>
    </row>
    <row r="17" spans="1:13">
      <c r="A17">
        <v>16</v>
      </c>
      <c r="B17" s="6">
        <v>0</v>
      </c>
      <c r="C17" s="6">
        <v>0</v>
      </c>
      <c r="D17" s="6">
        <v>0</v>
      </c>
      <c r="E17" s="6">
        <v>0</v>
      </c>
      <c r="F17" s="6">
        <v>0.09966572401596602</v>
      </c>
      <c r="G17" s="6">
        <v>0</v>
      </c>
      <c r="H17" s="6">
        <v>0.1914008519654218</v>
      </c>
      <c r="I17" s="6">
        <v>0.5354756674630161</v>
      </c>
      <c r="J17" s="6">
        <v>0</v>
      </c>
      <c r="K17" s="6">
        <v>0.1734577565555959</v>
      </c>
      <c r="L17" s="5">
        <f>SUMPRODUCT(B17:K17,S8_Solver!$B$4:$K$4)</f>
        <v>0</v>
      </c>
      <c r="M17" s="5">
        <f>SQRT(SUMPRODUCT(MMULT(B17:K17,S7_Cov!$B$2:$K$11),B17:K17))</f>
        <v>0</v>
      </c>
    </row>
    <row r="18" spans="1:13">
      <c r="A18">
        <v>17</v>
      </c>
      <c r="B18" s="6">
        <v>0</v>
      </c>
      <c r="C18" s="6">
        <v>0</v>
      </c>
      <c r="D18" s="6">
        <v>0</v>
      </c>
      <c r="E18" s="6">
        <v>0</v>
      </c>
      <c r="F18" s="6">
        <v>0.1057864246573642</v>
      </c>
      <c r="G18" s="6">
        <v>0</v>
      </c>
      <c r="H18" s="6">
        <v>0.1673144209634402</v>
      </c>
      <c r="I18" s="6">
        <v>0.5265212633255993</v>
      </c>
      <c r="J18" s="6">
        <v>0.01296243555128349</v>
      </c>
      <c r="K18" s="6">
        <v>0.1874154555023129</v>
      </c>
      <c r="L18" s="5">
        <f>SUMPRODUCT(B18:K18,S8_Solver!$B$4:$K$4)</f>
        <v>0</v>
      </c>
      <c r="M18" s="5">
        <f>SQRT(SUMPRODUCT(MMULT(B18:K18,S7_Cov!$B$2:$K$11),B18:K18))</f>
        <v>0</v>
      </c>
    </row>
    <row r="19" spans="1:13">
      <c r="A19">
        <v>18</v>
      </c>
      <c r="B19" s="6">
        <v>0</v>
      </c>
      <c r="C19" s="6">
        <v>0</v>
      </c>
      <c r="D19" s="6">
        <v>0</v>
      </c>
      <c r="E19" s="6">
        <v>0</v>
      </c>
      <c r="F19" s="6">
        <v>0.1107406919367399</v>
      </c>
      <c r="G19" s="6">
        <v>0</v>
      </c>
      <c r="H19" s="6">
        <v>0.139169734484221</v>
      </c>
      <c r="I19" s="6">
        <v>0.5140168026940027</v>
      </c>
      <c r="J19" s="6">
        <v>0.03518726416990044</v>
      </c>
      <c r="K19" s="6">
        <v>0.2008855067151357</v>
      </c>
      <c r="L19" s="5">
        <f>SUMPRODUCT(B19:K19,S8_Solver!$B$4:$K$4)</f>
        <v>0</v>
      </c>
      <c r="M19" s="5">
        <f>SQRT(SUMPRODUCT(MMULT(B19:K19,S7_Cov!$B$2:$K$11),B19:K19))</f>
        <v>0</v>
      </c>
    </row>
    <row r="20" spans="1:13">
      <c r="A20">
        <v>19</v>
      </c>
      <c r="B20" s="6">
        <v>0</v>
      </c>
      <c r="C20" s="6">
        <v>0</v>
      </c>
      <c r="D20" s="6">
        <v>0</v>
      </c>
      <c r="E20" s="6">
        <v>0</v>
      </c>
      <c r="F20" s="6">
        <v>0.1156949548754479</v>
      </c>
      <c r="G20" s="6">
        <v>0</v>
      </c>
      <c r="H20" s="6">
        <v>0.1110249799030663</v>
      </c>
      <c r="I20" s="6">
        <v>0.501512404040261</v>
      </c>
      <c r="J20" s="6">
        <v>0.05741210761046658</v>
      </c>
      <c r="K20" s="6">
        <v>0.2143555535707583</v>
      </c>
      <c r="L20" s="5">
        <f>SUMPRODUCT(B20:K20,S8_Solver!$B$4:$K$4)</f>
        <v>0</v>
      </c>
      <c r="M20" s="5">
        <f>SQRT(SUMPRODUCT(MMULT(B20:K20,S7_Cov!$B$2:$K$11),B20:K20))</f>
        <v>0</v>
      </c>
    </row>
    <row r="21" spans="1:13">
      <c r="A21">
        <v>20</v>
      </c>
      <c r="B21" s="6">
        <v>0</v>
      </c>
      <c r="C21" s="6">
        <v>0</v>
      </c>
      <c r="D21" s="6">
        <v>0</v>
      </c>
      <c r="E21" s="6">
        <v>0</v>
      </c>
      <c r="F21" s="6">
        <v>0.1206492282050915</v>
      </c>
      <c r="G21" s="6">
        <v>0</v>
      </c>
      <c r="H21" s="6">
        <v>0.08288024131797134</v>
      </c>
      <c r="I21" s="6">
        <v>0.4890080989316989</v>
      </c>
      <c r="J21" s="6">
        <v>0.07963680780902031</v>
      </c>
      <c r="K21" s="6">
        <v>0.2278256237362181</v>
      </c>
      <c r="L21" s="5">
        <f>SUMPRODUCT(B21:K21,S8_Solver!$B$4:$K$4)</f>
        <v>0</v>
      </c>
      <c r="M21" s="5">
        <f>SQRT(SUMPRODUCT(MMULT(B21:K21,S7_Cov!$B$2:$K$11),B21:K21))</f>
        <v>0</v>
      </c>
    </row>
    <row r="22" spans="1:13">
      <c r="A22">
        <v>21</v>
      </c>
      <c r="B22" s="6">
        <v>0</v>
      </c>
      <c r="C22" s="6">
        <v>0</v>
      </c>
      <c r="D22" s="6">
        <v>0</v>
      </c>
      <c r="E22" s="6">
        <v>0</v>
      </c>
      <c r="F22" s="6">
        <v>0.1256034837701197</v>
      </c>
      <c r="G22" s="6">
        <v>0</v>
      </c>
      <c r="H22" s="6">
        <v>0.05473554837663355</v>
      </c>
      <c r="I22" s="6">
        <v>0.476503519595012</v>
      </c>
      <c r="J22" s="6">
        <v>0.1018617971367957</v>
      </c>
      <c r="K22" s="6">
        <v>0.2412956511214391</v>
      </c>
      <c r="L22" s="5">
        <f>SUMPRODUCT(B22:K22,S8_Solver!$B$4:$K$4)</f>
        <v>0</v>
      </c>
      <c r="M22" s="5">
        <f>SQRT(SUMPRODUCT(MMULT(B22:K22,S7_Cov!$B$2:$K$11),B22:K22))</f>
        <v>0</v>
      </c>
    </row>
    <row r="23" spans="1:13">
      <c r="A23">
        <v>22</v>
      </c>
      <c r="B23" s="6">
        <v>0</v>
      </c>
      <c r="C23" s="6">
        <v>0</v>
      </c>
      <c r="D23" s="6">
        <v>0</v>
      </c>
      <c r="E23" s="6">
        <v>0</v>
      </c>
      <c r="F23" s="6">
        <v>0.1305577488852083</v>
      </c>
      <c r="G23" s="6">
        <v>0</v>
      </c>
      <c r="H23" s="6">
        <v>0.02659082122230284</v>
      </c>
      <c r="I23" s="6">
        <v>0.463999096940671</v>
      </c>
      <c r="J23" s="6">
        <v>0.1240866345821809</v>
      </c>
      <c r="K23" s="6">
        <v>0.254765698369637</v>
      </c>
      <c r="L23" s="5">
        <f>SUMPRODUCT(B23:K23,S8_Solver!$B$4:$K$4)</f>
        <v>0</v>
      </c>
      <c r="M23" s="5">
        <f>SQRT(SUMPRODUCT(MMULT(B23:K23,S7_Cov!$B$2:$K$11),B23:K23))</f>
        <v>0</v>
      </c>
    </row>
    <row r="24" spans="1:13">
      <c r="A24">
        <v>23</v>
      </c>
      <c r="B24" s="6">
        <v>0</v>
      </c>
      <c r="C24" s="6">
        <v>0</v>
      </c>
      <c r="D24" s="6">
        <v>0</v>
      </c>
      <c r="E24" s="6">
        <v>0</v>
      </c>
      <c r="F24" s="6">
        <v>0.1356373437163772</v>
      </c>
      <c r="G24" s="6">
        <v>0</v>
      </c>
      <c r="H24" s="6">
        <v>0</v>
      </c>
      <c r="I24" s="6">
        <v>0.4501932519470372</v>
      </c>
      <c r="J24" s="6">
        <v>0.1458856572949097</v>
      </c>
      <c r="K24" s="6">
        <v>0.2682837470416759</v>
      </c>
      <c r="L24" s="5">
        <f>SUMPRODUCT(B24:K24,S8_Solver!$B$4:$K$4)</f>
        <v>0</v>
      </c>
      <c r="M24" s="5">
        <f>SQRT(SUMPRODUCT(MMULT(B24:K24,S7_Cov!$B$2:$K$11),B24:K24))</f>
        <v>0</v>
      </c>
    </row>
    <row r="25" spans="1:13">
      <c r="A25">
        <v>24</v>
      </c>
      <c r="B25" s="6">
        <v>0</v>
      </c>
      <c r="C25" s="6">
        <v>0</v>
      </c>
      <c r="D25" s="6">
        <v>0</v>
      </c>
      <c r="E25" s="6">
        <v>0</v>
      </c>
      <c r="F25" s="6">
        <v>0.1427346505264925</v>
      </c>
      <c r="G25" s="6">
        <v>0.0007507081697250308</v>
      </c>
      <c r="H25" s="6">
        <v>0</v>
      </c>
      <c r="I25" s="6">
        <v>0.4153813718682572</v>
      </c>
      <c r="J25" s="6">
        <v>0.1587835299273555</v>
      </c>
      <c r="K25" s="6">
        <v>0.2823497395081697</v>
      </c>
      <c r="L25" s="5">
        <f>SUMPRODUCT(B25:K25,S8_Solver!$B$4:$K$4)</f>
        <v>0</v>
      </c>
      <c r="M25" s="5">
        <f>SQRT(SUMPRODUCT(MMULT(B25:K25,S7_Cov!$B$2:$K$11),B25:K25))</f>
        <v>0</v>
      </c>
    </row>
    <row r="26" spans="1:13">
      <c r="A26">
        <v>25</v>
      </c>
      <c r="B26" s="6">
        <v>0</v>
      </c>
      <c r="C26" s="6">
        <v>0</v>
      </c>
      <c r="D26" s="6">
        <v>0</v>
      </c>
      <c r="E26" s="6">
        <v>0</v>
      </c>
      <c r="F26" s="6">
        <v>0.1484030077763574</v>
      </c>
      <c r="G26" s="6">
        <v>0.009951898919749586</v>
      </c>
      <c r="H26" s="6">
        <v>0</v>
      </c>
      <c r="I26" s="6">
        <v>0.3948004187687543</v>
      </c>
      <c r="J26" s="6">
        <v>0.1535082672287118</v>
      </c>
      <c r="K26" s="6">
        <v>0.2933364073064269</v>
      </c>
      <c r="L26" s="5">
        <f>SUMPRODUCT(B26:K26,S8_Solver!$B$4:$K$4)</f>
        <v>0</v>
      </c>
      <c r="M26" s="5">
        <f>SQRT(SUMPRODUCT(MMULT(B26:K26,S7_Cov!$B$2:$K$11),B26:K26))</f>
        <v>0</v>
      </c>
    </row>
    <row r="27" spans="1:13">
      <c r="A27">
        <v>26</v>
      </c>
      <c r="B27" s="6">
        <v>0</v>
      </c>
      <c r="C27" s="6">
        <v>0</v>
      </c>
      <c r="D27" s="6">
        <v>0</v>
      </c>
      <c r="E27" s="6">
        <v>0</v>
      </c>
      <c r="F27" s="6">
        <v>0.154071357889368</v>
      </c>
      <c r="G27" s="6">
        <v>0.01915309151751452</v>
      </c>
      <c r="H27" s="6">
        <v>0</v>
      </c>
      <c r="I27" s="6">
        <v>0.3742195395303322</v>
      </c>
      <c r="J27" s="6">
        <v>0.1482328634588968</v>
      </c>
      <c r="K27" s="6">
        <v>0.3043231476038885</v>
      </c>
      <c r="L27" s="5">
        <f>SUMPRODUCT(B27:K27,S8_Solver!$B$4:$K$4)</f>
        <v>0</v>
      </c>
      <c r="M27" s="5">
        <f>SQRT(SUMPRODUCT(MMULT(B27:K27,S7_Cov!$B$2:$K$11),B27:K27))</f>
        <v>0</v>
      </c>
    </row>
    <row r="28" spans="1:13">
      <c r="A28">
        <v>27</v>
      </c>
      <c r="B28" s="6">
        <v>0</v>
      </c>
      <c r="C28" s="6">
        <v>0</v>
      </c>
      <c r="D28" s="6">
        <v>0</v>
      </c>
      <c r="E28" s="6">
        <v>0</v>
      </c>
      <c r="F28" s="6">
        <v>0.1597397057172219</v>
      </c>
      <c r="G28" s="6">
        <v>0.02835428116326513</v>
      </c>
      <c r="H28" s="6">
        <v>0</v>
      </c>
      <c r="I28" s="6">
        <v>0.3536386352882842</v>
      </c>
      <c r="J28" s="6">
        <v>0.1429574882467742</v>
      </c>
      <c r="K28" s="6">
        <v>0.3153098895844545</v>
      </c>
      <c r="L28" s="5">
        <f>SUMPRODUCT(B28:K28,S8_Solver!$B$4:$K$4)</f>
        <v>0</v>
      </c>
      <c r="M28" s="5">
        <f>SQRT(SUMPRODUCT(MMULT(B28:K28,S7_Cov!$B$2:$K$11),B28:K28))</f>
        <v>0</v>
      </c>
    </row>
    <row r="29" spans="1:13">
      <c r="A29">
        <v>28</v>
      </c>
      <c r="B29" s="6">
        <v>0</v>
      </c>
      <c r="C29" s="6">
        <v>0</v>
      </c>
      <c r="D29" s="6">
        <v>0</v>
      </c>
      <c r="E29" s="6">
        <v>0</v>
      </c>
      <c r="F29" s="6">
        <v>0.1654080379018739</v>
      </c>
      <c r="G29" s="6">
        <v>0.03755550863018675</v>
      </c>
      <c r="H29" s="6">
        <v>0</v>
      </c>
      <c r="I29" s="6">
        <v>0.3330577747657467</v>
      </c>
      <c r="J29" s="6">
        <v>0.1376820310521916</v>
      </c>
      <c r="K29" s="6">
        <v>0.3262966476500012</v>
      </c>
      <c r="L29" s="5">
        <f>SUMPRODUCT(B29:K29,S8_Solver!$B$4:$K$4)</f>
        <v>0</v>
      </c>
      <c r="M29" s="5">
        <f>SQRT(SUMPRODUCT(MMULT(B29:K29,S7_Cov!$B$2:$K$11),B29:K29))</f>
        <v>0</v>
      </c>
    </row>
    <row r="30" spans="1:13">
      <c r="A30">
        <v>29</v>
      </c>
      <c r="B30" s="6">
        <v>0</v>
      </c>
      <c r="C30" s="6">
        <v>0</v>
      </c>
      <c r="D30" s="6">
        <v>0</v>
      </c>
      <c r="E30" s="6">
        <v>0</v>
      </c>
      <c r="F30" s="6">
        <v>0.1710763765878373</v>
      </c>
      <c r="G30" s="6">
        <v>0.04675668251497126</v>
      </c>
      <c r="H30" s="6">
        <v>0</v>
      </c>
      <c r="I30" s="6">
        <v>0.3124767868543489</v>
      </c>
      <c r="J30" s="6">
        <v>0.1324067394536057</v>
      </c>
      <c r="K30" s="6">
        <v>0.3372834145892368</v>
      </c>
      <c r="L30" s="5">
        <f>SUMPRODUCT(B30:K30,S8_Solver!$B$4:$K$4)</f>
        <v>0</v>
      </c>
      <c r="M30" s="5">
        <f>SQRT(SUMPRODUCT(MMULT(B30:K30,S7_Cov!$B$2:$K$11),B30:K30))</f>
        <v>0</v>
      </c>
    </row>
    <row r="31" spans="1:13">
      <c r="A31">
        <v>30</v>
      </c>
      <c r="B31" s="6">
        <v>0</v>
      </c>
      <c r="C31" s="6">
        <v>0</v>
      </c>
      <c r="D31" s="6">
        <v>0</v>
      </c>
      <c r="E31" s="6">
        <v>0</v>
      </c>
      <c r="F31" s="6">
        <v>0.1767446962442843</v>
      </c>
      <c r="G31" s="6">
        <v>0.05595801732401182</v>
      </c>
      <c r="H31" s="6">
        <v>0</v>
      </c>
      <c r="I31" s="6">
        <v>0.2918960374859118</v>
      </c>
      <c r="J31" s="6">
        <v>0.1271311824676181</v>
      </c>
      <c r="K31" s="6">
        <v>0.348270066478174</v>
      </c>
      <c r="L31" s="5">
        <f>SUMPRODUCT(B31:K31,S8_Solver!$B$4:$K$4)</f>
        <v>0</v>
      </c>
      <c r="M31" s="5">
        <f>SQRT(SUMPRODUCT(MMULT(B31:K31,S7_Cov!$B$2:$K$11),B31:K31))</f>
        <v>0</v>
      </c>
    </row>
    <row r="32" spans="1:13">
      <c r="A32">
        <v>31</v>
      </c>
      <c r="B32" s="6">
        <v>0</v>
      </c>
      <c r="C32" s="6">
        <v>0</v>
      </c>
      <c r="D32" s="6">
        <v>0</v>
      </c>
      <c r="E32" s="6">
        <v>0</v>
      </c>
      <c r="F32" s="6">
        <v>0.1824131451072641</v>
      </c>
      <c r="G32" s="6">
        <v>0.0651589525903867</v>
      </c>
      <c r="H32" s="6">
        <v>0</v>
      </c>
      <c r="I32" s="6">
        <v>0.2713150540081004</v>
      </c>
      <c r="J32" s="6">
        <v>0.121856000642303</v>
      </c>
      <c r="K32" s="6">
        <v>0.359256847651946</v>
      </c>
      <c r="L32" s="5">
        <f>SUMPRODUCT(B32:K32,S8_Solver!$B$4:$K$4)</f>
        <v>0</v>
      </c>
      <c r="M32" s="5">
        <f>SQRT(SUMPRODUCT(MMULT(B32:K32,S7_Cov!$B$2:$K$11),B32:K32))</f>
        <v>0</v>
      </c>
    </row>
    <row r="33" spans="1:13">
      <c r="A33">
        <v>32</v>
      </c>
      <c r="B33" s="6">
        <v>0</v>
      </c>
      <c r="C33" s="6">
        <v>0</v>
      </c>
      <c r="D33" s="6">
        <v>0</v>
      </c>
      <c r="E33" s="6">
        <v>0</v>
      </c>
      <c r="F33" s="6">
        <v>0.1880814601360075</v>
      </c>
      <c r="G33" s="6">
        <v>0.07436024840110082</v>
      </c>
      <c r="H33" s="6">
        <v>0</v>
      </c>
      <c r="I33" s="6">
        <v>0.2507342864620069</v>
      </c>
      <c r="J33" s="6">
        <v>0.1165804121004837</v>
      </c>
      <c r="K33" s="6">
        <v>0.3702435929004011</v>
      </c>
      <c r="L33" s="5">
        <f>SUMPRODUCT(B33:K33,S8_Solver!$B$4:$K$4)</f>
        <v>0</v>
      </c>
      <c r="M33" s="5">
        <f>SQRT(SUMPRODUCT(MMULT(B33:K33,S7_Cov!$B$2:$K$11),B33:K33))</f>
        <v>0</v>
      </c>
    </row>
    <row r="34" spans="1:13">
      <c r="A34">
        <v>33</v>
      </c>
      <c r="B34" s="6">
        <v>0</v>
      </c>
      <c r="C34" s="6">
        <v>0</v>
      </c>
      <c r="D34" s="6">
        <v>0</v>
      </c>
      <c r="E34" s="6">
        <v>0</v>
      </c>
      <c r="F34" s="6">
        <v>0.1937498032279366</v>
      </c>
      <c r="G34" s="6">
        <v>0.0835613786120275</v>
      </c>
      <c r="H34" s="6">
        <v>0</v>
      </c>
      <c r="I34" s="6">
        <v>0.2301532004563995</v>
      </c>
      <c r="J34" s="6">
        <v>0.1113052431601414</v>
      </c>
      <c r="K34" s="6">
        <v>0.3812303745434951</v>
      </c>
      <c r="L34" s="5">
        <f>SUMPRODUCT(B34:K34,S8_Solver!$B$4:$K$4)</f>
        <v>0</v>
      </c>
      <c r="M34" s="5">
        <f>SQRT(SUMPRODUCT(MMULT(B34:K34,S7_Cov!$B$2:$K$11),B34:K34))</f>
        <v>0</v>
      </c>
    </row>
    <row r="35" spans="1:13">
      <c r="A35">
        <v>34</v>
      </c>
      <c r="B35" s="6">
        <v>0</v>
      </c>
      <c r="C35" s="6">
        <v>0</v>
      </c>
      <c r="D35" s="6">
        <v>0</v>
      </c>
      <c r="E35" s="6">
        <v>0</v>
      </c>
      <c r="F35" s="6">
        <v>0.1994181872945681</v>
      </c>
      <c r="G35" s="6">
        <v>0.09276272197935571</v>
      </c>
      <c r="H35" s="6">
        <v>0</v>
      </c>
      <c r="I35" s="6">
        <v>0.2095730465842164</v>
      </c>
      <c r="J35" s="6">
        <v>0.1060289710394793</v>
      </c>
      <c r="K35" s="6">
        <v>0.3922170731023806</v>
      </c>
      <c r="L35" s="5">
        <f>SUMPRODUCT(B35:K35,S8_Solver!$B$4:$K$4)</f>
        <v>0</v>
      </c>
      <c r="M35" s="5">
        <f>SQRT(SUMPRODUCT(MMULT(B35:K35,S7_Cov!$B$2:$K$11),B35:K35))</f>
        <v>0</v>
      </c>
    </row>
    <row r="36" spans="1:13">
      <c r="A36">
        <v>35</v>
      </c>
      <c r="B36" s="6">
        <v>0</v>
      </c>
      <c r="C36" s="6">
        <v>0</v>
      </c>
      <c r="D36" s="6">
        <v>0</v>
      </c>
      <c r="E36" s="6">
        <v>0</v>
      </c>
      <c r="F36" s="6">
        <v>0.205086493384954</v>
      </c>
      <c r="G36" s="6">
        <v>0.1019637956877317</v>
      </c>
      <c r="H36" s="6">
        <v>0</v>
      </c>
      <c r="I36" s="6">
        <v>0.1889914152437278</v>
      </c>
      <c r="J36" s="6">
        <v>0.1007544791127332</v>
      </c>
      <c r="K36" s="6">
        <v>0.4032038165708533</v>
      </c>
      <c r="L36" s="5">
        <f>SUMPRODUCT(B36:K36,S8_Solver!$B$4:$K$4)</f>
        <v>0</v>
      </c>
      <c r="M36" s="5">
        <f>SQRT(SUMPRODUCT(MMULT(B36:K36,S7_Cov!$B$2:$K$11),B36:K36))</f>
        <v>0</v>
      </c>
    </row>
    <row r="37" spans="1:13">
      <c r="A37">
        <v>36</v>
      </c>
      <c r="B37" s="6">
        <v>0</v>
      </c>
      <c r="C37" s="6">
        <v>0</v>
      </c>
      <c r="D37" s="6">
        <v>0</v>
      </c>
      <c r="E37" s="6">
        <v>0</v>
      </c>
      <c r="F37" s="6">
        <v>0.2107548181970424</v>
      </c>
      <c r="G37" s="6">
        <v>0.1111650207728555</v>
      </c>
      <c r="H37" s="6">
        <v>0</v>
      </c>
      <c r="I37" s="6">
        <v>0.1684105134393776</v>
      </c>
      <c r="J37" s="6">
        <v>0.09547905922347318</v>
      </c>
      <c r="K37" s="6">
        <v>0.4141905883672513</v>
      </c>
      <c r="L37" s="5">
        <f>SUMPRODUCT(B37:K37,S8_Solver!$B$4:$K$4)</f>
        <v>0</v>
      </c>
      <c r="M37" s="5">
        <f>SQRT(SUMPRODUCT(MMULT(B37:K37,S7_Cov!$B$2:$K$11),B37:K37))</f>
        <v>0</v>
      </c>
    </row>
    <row r="38" spans="1:13">
      <c r="A38">
        <v>37</v>
      </c>
      <c r="B38" s="6">
        <v>0</v>
      </c>
      <c r="C38" s="6">
        <v>0</v>
      </c>
      <c r="D38" s="6">
        <v>0</v>
      </c>
      <c r="E38" s="6">
        <v>0</v>
      </c>
      <c r="F38" s="6">
        <v>0.2164232033157323</v>
      </c>
      <c r="G38" s="6">
        <v>0.1203661432100025</v>
      </c>
      <c r="H38" s="6">
        <v>0</v>
      </c>
      <c r="I38" s="6">
        <v>0.1478296553192651</v>
      </c>
      <c r="J38" s="6">
        <v>0.09020366525648296</v>
      </c>
      <c r="K38" s="6">
        <v>0.4251773328985172</v>
      </c>
      <c r="L38" s="5">
        <f>SUMPRODUCT(B38:K38,S8_Solver!$B$4:$K$4)</f>
        <v>0</v>
      </c>
      <c r="M38" s="5">
        <f>SQRT(SUMPRODUCT(MMULT(B38:K38,S7_Cov!$B$2:$K$11),B38:K38))</f>
        <v>0</v>
      </c>
    </row>
    <row r="39" spans="1:13">
      <c r="A39">
        <v>38</v>
      </c>
      <c r="B39" s="6">
        <v>0</v>
      </c>
      <c r="C39" s="6">
        <v>0</v>
      </c>
      <c r="D39" s="6">
        <v>0</v>
      </c>
      <c r="E39" s="6">
        <v>0</v>
      </c>
      <c r="F39" s="6">
        <v>0.2220915471710524</v>
      </c>
      <c r="G39" s="6">
        <v>0.1295673807276075</v>
      </c>
      <c r="H39" s="6">
        <v>0</v>
      </c>
      <c r="I39" s="6">
        <v>0.127248812691118</v>
      </c>
      <c r="J39" s="6">
        <v>0.08492823198142943</v>
      </c>
      <c r="K39" s="6">
        <v>0.4361640274287927</v>
      </c>
      <c r="L39" s="5">
        <f>SUMPRODUCT(B39:K39,S8_Solver!$B$4:$K$4)</f>
        <v>0</v>
      </c>
      <c r="M39" s="5">
        <f>SQRT(SUMPRODUCT(MMULT(B39:K39,S7_Cov!$B$2:$K$11),B39:K39))</f>
        <v>0</v>
      </c>
    </row>
    <row r="40" spans="1:13">
      <c r="A40">
        <v>39</v>
      </c>
      <c r="B40" s="6">
        <v>0</v>
      </c>
      <c r="C40" s="6">
        <v>0</v>
      </c>
      <c r="D40" s="6">
        <v>0</v>
      </c>
      <c r="E40" s="6">
        <v>0</v>
      </c>
      <c r="F40" s="6">
        <v>0.2277599394722036</v>
      </c>
      <c r="G40" s="6">
        <v>0.1387684623657503</v>
      </c>
      <c r="H40" s="6">
        <v>0</v>
      </c>
      <c r="I40" s="6">
        <v>0.1066678609658267</v>
      </c>
      <c r="J40" s="6">
        <v>0.07965296654315829</v>
      </c>
      <c r="K40" s="6">
        <v>0.4471507706530611</v>
      </c>
      <c r="L40" s="5">
        <f>SUMPRODUCT(B40:K40,S8_Solver!$B$4:$K$4)</f>
        <v>0</v>
      </c>
      <c r="M40" s="5">
        <f>SQRT(SUMPRODUCT(MMULT(B40:K40,S7_Cov!$B$2:$K$11),B40:K40))</f>
        <v>0</v>
      </c>
    </row>
    <row r="41" spans="1:13">
      <c r="A41">
        <v>40</v>
      </c>
      <c r="B41" s="6">
        <v>0</v>
      </c>
      <c r="C41" s="6">
        <v>0</v>
      </c>
      <c r="D41" s="6">
        <v>0</v>
      </c>
      <c r="E41" s="6">
        <v>0</v>
      </c>
      <c r="F41" s="6">
        <v>0.2334282887716751</v>
      </c>
      <c r="G41" s="6">
        <v>0.1479696895153557</v>
      </c>
      <c r="H41" s="6">
        <v>0</v>
      </c>
      <c r="I41" s="6">
        <v>0.08608691189921969</v>
      </c>
      <c r="J41" s="6">
        <v>0.0743777107604358</v>
      </c>
      <c r="K41" s="6">
        <v>0.4581373990533138</v>
      </c>
      <c r="L41" s="5">
        <f>SUMPRODUCT(B41:K41,S8_Solver!$B$4:$K$4)</f>
        <v>0</v>
      </c>
      <c r="M41" s="5">
        <f>SQRT(SUMPRODUCT(MMULT(B41:K41,S7_Cov!$B$2:$K$11),B41:K41))</f>
        <v>0</v>
      </c>
    </row>
    <row r="42" spans="1:13">
      <c r="A42">
        <v>41</v>
      </c>
      <c r="B42" s="6">
        <v>0</v>
      </c>
      <c r="C42" s="6">
        <v>0</v>
      </c>
      <c r="D42" s="6">
        <v>0</v>
      </c>
      <c r="E42" s="6">
        <v>0</v>
      </c>
      <c r="F42" s="6">
        <v>0.2390965801439875</v>
      </c>
      <c r="G42" s="6">
        <v>0.1571709362400431</v>
      </c>
      <c r="H42" s="6">
        <v>0</v>
      </c>
      <c r="I42" s="6">
        <v>0.06550598795223171</v>
      </c>
      <c r="J42" s="6">
        <v>0.06910223308949993</v>
      </c>
      <c r="K42" s="6">
        <v>0.4691242625742379</v>
      </c>
      <c r="L42" s="5">
        <f>SUMPRODUCT(B42:K42,S8_Solver!$B$4:$K$4)</f>
        <v>0</v>
      </c>
      <c r="M42" s="5">
        <f>SQRT(SUMPRODUCT(MMULT(B42:K42,S7_Cov!$B$2:$K$11),B42:K42))</f>
        <v>0</v>
      </c>
    </row>
    <row r="43" spans="1:13">
      <c r="A43">
        <v>42</v>
      </c>
      <c r="B43" s="6">
        <v>0</v>
      </c>
      <c r="C43" s="6">
        <v>0</v>
      </c>
      <c r="D43" s="6">
        <v>0</v>
      </c>
      <c r="E43" s="6">
        <v>0</v>
      </c>
      <c r="F43" s="6">
        <v>0.2447649623320557</v>
      </c>
      <c r="G43" s="6">
        <v>0.1663720279880368</v>
      </c>
      <c r="H43" s="6">
        <v>0</v>
      </c>
      <c r="I43" s="6">
        <v>0.04492502457293539</v>
      </c>
      <c r="J43" s="6">
        <v>0.06382696214986285</v>
      </c>
      <c r="K43" s="6">
        <v>0.4801110229571093</v>
      </c>
      <c r="L43" s="5">
        <f>SUMPRODUCT(B43:K43,S8_Solver!$B$4:$K$4)</f>
        <v>0</v>
      </c>
      <c r="M43" s="5">
        <f>SQRT(SUMPRODUCT(MMULT(B43:K43,S7_Cov!$B$2:$K$11),B43:K43))</f>
        <v>0</v>
      </c>
    </row>
    <row r="44" spans="1:13">
      <c r="A44">
        <v>43</v>
      </c>
      <c r="B44" s="6">
        <v>0</v>
      </c>
      <c r="C44" s="6">
        <v>0</v>
      </c>
      <c r="D44" s="6">
        <v>0</v>
      </c>
      <c r="E44" s="6">
        <v>0</v>
      </c>
      <c r="F44" s="6">
        <v>0.2504333112022362</v>
      </c>
      <c r="G44" s="6">
        <v>0.175573311241098</v>
      </c>
      <c r="H44" s="6">
        <v>0</v>
      </c>
      <c r="I44" s="6">
        <v>0.02434435577185021</v>
      </c>
      <c r="J44" s="6">
        <v>0.05855132070292041</v>
      </c>
      <c r="K44" s="6">
        <v>0.4910977010818952</v>
      </c>
      <c r="L44" s="5">
        <f>SUMPRODUCT(B44:K44,S8_Solver!$B$4:$K$4)</f>
        <v>0</v>
      </c>
      <c r="M44" s="5">
        <f>SQRT(SUMPRODUCT(MMULT(B44:K44,S7_Cov!$B$2:$K$11),B44:K44))</f>
        <v>0</v>
      </c>
    </row>
    <row r="45" spans="1:13">
      <c r="A45">
        <v>44</v>
      </c>
      <c r="B45" s="6">
        <v>0</v>
      </c>
      <c r="C45" s="6">
        <v>0</v>
      </c>
      <c r="D45" s="6">
        <v>0</v>
      </c>
      <c r="E45" s="6">
        <v>0</v>
      </c>
      <c r="F45" s="6">
        <v>0.2561016319284675</v>
      </c>
      <c r="G45" s="6">
        <v>0.1847745198231793</v>
      </c>
      <c r="H45" s="6">
        <v>0</v>
      </c>
      <c r="I45" s="6">
        <v>0.003763389020036937</v>
      </c>
      <c r="J45" s="6">
        <v>0.05327597146832422</v>
      </c>
      <c r="K45" s="6">
        <v>0.502084487759992</v>
      </c>
      <c r="L45" s="5">
        <f>SUMPRODUCT(B45:K45,S8_Solver!$B$4:$K$4)</f>
        <v>0</v>
      </c>
      <c r="M45" s="5">
        <f>SQRT(SUMPRODUCT(MMULT(B45:K45,S7_Cov!$B$2:$K$11),B45:K45))</f>
        <v>0</v>
      </c>
    </row>
    <row r="46" spans="1:13">
      <c r="A46">
        <v>45</v>
      </c>
      <c r="B46" s="6">
        <v>0</v>
      </c>
      <c r="C46" s="6">
        <v>0</v>
      </c>
      <c r="D46" s="6">
        <v>0</v>
      </c>
      <c r="E46" s="6">
        <v>0</v>
      </c>
      <c r="F46" s="6">
        <v>0.263275253848758</v>
      </c>
      <c r="G46" s="6">
        <v>0.1959737508598274</v>
      </c>
      <c r="H46" s="6">
        <v>0</v>
      </c>
      <c r="I46" s="6">
        <v>0</v>
      </c>
      <c r="J46" s="6">
        <v>0.02869508939695247</v>
      </c>
      <c r="K46" s="6">
        <v>0.512055905894462</v>
      </c>
      <c r="L46" s="5">
        <f>SUMPRODUCT(B46:K46,S8_Solver!$B$4:$K$4)</f>
        <v>0</v>
      </c>
      <c r="M46" s="5">
        <f>SQRT(SUMPRODUCT(MMULT(B46:K46,S7_Cov!$B$2:$K$11),B46:K46))</f>
        <v>0</v>
      </c>
    </row>
    <row r="47" spans="1:13">
      <c r="A47">
        <v>46</v>
      </c>
      <c r="B47" s="6">
        <v>0</v>
      </c>
      <c r="C47" s="6">
        <v>0</v>
      </c>
      <c r="D47" s="6">
        <v>0</v>
      </c>
      <c r="E47" s="6">
        <v>0</v>
      </c>
      <c r="F47" s="6">
        <v>0.2708626843179112</v>
      </c>
      <c r="G47" s="6">
        <v>0.2075628268858083</v>
      </c>
      <c r="H47" s="6">
        <v>0</v>
      </c>
      <c r="I47" s="6">
        <v>0</v>
      </c>
      <c r="J47" s="6">
        <v>0</v>
      </c>
      <c r="K47" s="6">
        <v>0.5215744887962805</v>
      </c>
      <c r="L47" s="5">
        <f>SUMPRODUCT(B47:K47,S8_Solver!$B$4:$K$4)</f>
        <v>0</v>
      </c>
      <c r="M47" s="5">
        <f>SQRT(SUMPRODUCT(MMULT(B47:K47,S7_Cov!$B$2:$K$11),B47:K47))</f>
        <v>0</v>
      </c>
    </row>
    <row r="48" spans="1:13">
      <c r="A48">
        <v>47</v>
      </c>
      <c r="B48" s="6">
        <v>0</v>
      </c>
      <c r="C48" s="6">
        <v>0</v>
      </c>
      <c r="D48" s="6">
        <v>0</v>
      </c>
      <c r="E48" s="6">
        <v>0</v>
      </c>
      <c r="F48" s="6">
        <v>0.2891689781492821</v>
      </c>
      <c r="G48" s="6">
        <v>0.2111864035890374</v>
      </c>
      <c r="H48" s="6">
        <v>0</v>
      </c>
      <c r="I48" s="6">
        <v>0</v>
      </c>
      <c r="J48" s="6">
        <v>0</v>
      </c>
      <c r="K48" s="6">
        <v>0.4996446182616805</v>
      </c>
      <c r="L48" s="5">
        <f>SUMPRODUCT(B48:K48,S8_Solver!$B$4:$K$4)</f>
        <v>0</v>
      </c>
      <c r="M48" s="5">
        <f>SQRT(SUMPRODUCT(MMULT(B48:K48,S7_Cov!$B$2:$K$11),B48:K48))</f>
        <v>0</v>
      </c>
    </row>
    <row r="49" spans="1:13">
      <c r="A49">
        <v>48</v>
      </c>
      <c r="B49" s="6">
        <v>0</v>
      </c>
      <c r="C49" s="6">
        <v>0</v>
      </c>
      <c r="D49" s="6">
        <v>0</v>
      </c>
      <c r="E49" s="6">
        <v>0</v>
      </c>
      <c r="F49" s="6">
        <v>0.307475275747425</v>
      </c>
      <c r="G49" s="6">
        <v>0.214809968616659</v>
      </c>
      <c r="H49" s="6">
        <v>0</v>
      </c>
      <c r="I49" s="6">
        <v>0</v>
      </c>
      <c r="J49" s="6">
        <v>0</v>
      </c>
      <c r="K49" s="6">
        <v>0.4777147556359161</v>
      </c>
      <c r="L49" s="5">
        <f>SUMPRODUCT(B49:K49,S8_Solver!$B$4:$K$4)</f>
        <v>0</v>
      </c>
      <c r="M49" s="5">
        <f>SQRT(SUMPRODUCT(MMULT(B49:K49,S7_Cov!$B$2:$K$11),B49:K49))</f>
        <v>0</v>
      </c>
    </row>
    <row r="50" spans="1:13">
      <c r="A50">
        <v>49</v>
      </c>
      <c r="B50" s="6">
        <v>0</v>
      </c>
      <c r="C50" s="6">
        <v>0</v>
      </c>
      <c r="D50" s="6">
        <v>0</v>
      </c>
      <c r="E50" s="6">
        <v>0</v>
      </c>
      <c r="F50" s="6">
        <v>0.3257815707525016</v>
      </c>
      <c r="G50" s="6">
        <v>0.2184335416808176</v>
      </c>
      <c r="H50" s="6">
        <v>0</v>
      </c>
      <c r="I50" s="6">
        <v>0</v>
      </c>
      <c r="J50" s="6">
        <v>0</v>
      </c>
      <c r="K50" s="6">
        <v>0.455784887566681</v>
      </c>
      <c r="L50" s="5">
        <f>SUMPRODUCT(B50:K50,S8_Solver!$B$4:$K$4)</f>
        <v>0</v>
      </c>
      <c r="M50" s="5">
        <f>SQRT(SUMPRODUCT(MMULT(B50:K50,S7_Cov!$B$2:$K$11),B50:K50))</f>
        <v>0</v>
      </c>
    </row>
    <row r="51" spans="1:13">
      <c r="A51">
        <v>50</v>
      </c>
      <c r="B51" s="6">
        <v>0</v>
      </c>
      <c r="C51" s="6">
        <v>0</v>
      </c>
      <c r="D51" s="6">
        <v>0</v>
      </c>
      <c r="E51" s="6">
        <v>0</v>
      </c>
      <c r="F51" s="6">
        <v>0.3440878663529758</v>
      </c>
      <c r="G51" s="6">
        <v>0.2220571128989225</v>
      </c>
      <c r="H51" s="6">
        <v>0</v>
      </c>
      <c r="I51" s="6">
        <v>0</v>
      </c>
      <c r="J51" s="6">
        <v>0</v>
      </c>
      <c r="K51" s="6">
        <v>0.4338550207481016</v>
      </c>
      <c r="L51" s="5">
        <f>SUMPRODUCT(B51:K51,S8_Solver!$B$4:$K$4)</f>
        <v>0</v>
      </c>
      <c r="M51" s="5">
        <f>SQRT(SUMPRODUCT(MMULT(B51:K51,S7_Cov!$B$2:$K$11),B51:K51))</f>
        <v>0</v>
      </c>
    </row>
    <row r="52" spans="1:13">
      <c r="A52">
        <v>51</v>
      </c>
      <c r="B52" s="6">
        <v>0</v>
      </c>
      <c r="C52" s="6">
        <v>0</v>
      </c>
      <c r="D52" s="6">
        <v>0</v>
      </c>
      <c r="E52" s="6">
        <v>0</v>
      </c>
      <c r="F52" s="6">
        <v>0.3623941643668366</v>
      </c>
      <c r="G52" s="6">
        <v>0.2256806766381852</v>
      </c>
      <c r="H52" s="6">
        <v>0</v>
      </c>
      <c r="I52" s="6">
        <v>0</v>
      </c>
      <c r="J52" s="6">
        <v>0</v>
      </c>
      <c r="K52" s="6">
        <v>0.4119251589949783</v>
      </c>
      <c r="L52" s="5">
        <f>SUMPRODUCT(B52:K52,S8_Solver!$B$4:$K$4)</f>
        <v>0</v>
      </c>
      <c r="M52" s="5">
        <f>SQRT(SUMPRODUCT(MMULT(B52:K52,S7_Cov!$B$2:$K$11),B52:K52))</f>
        <v>0</v>
      </c>
    </row>
    <row r="53" spans="1:13">
      <c r="A53">
        <v>52</v>
      </c>
      <c r="B53" s="6">
        <v>0</v>
      </c>
      <c r="C53" s="6">
        <v>0</v>
      </c>
      <c r="D53" s="6">
        <v>0</v>
      </c>
      <c r="E53" s="6">
        <v>0</v>
      </c>
      <c r="F53" s="6">
        <v>0.3807004602868837</v>
      </c>
      <c r="G53" s="6">
        <v>0.2293042468672011</v>
      </c>
      <c r="H53" s="6">
        <v>0</v>
      </c>
      <c r="I53" s="6">
        <v>0</v>
      </c>
      <c r="J53" s="6">
        <v>0</v>
      </c>
      <c r="K53" s="6">
        <v>0.3899952928459153</v>
      </c>
      <c r="L53" s="5">
        <f>SUMPRODUCT(B53:K53,S8_Solver!$B$4:$K$4)</f>
        <v>0</v>
      </c>
      <c r="M53" s="5">
        <f>SQRT(SUMPRODUCT(MMULT(B53:K53,S7_Cov!$B$2:$K$11),B53:K53))</f>
        <v>0</v>
      </c>
    </row>
    <row r="54" spans="1:13">
      <c r="A54">
        <v>53</v>
      </c>
      <c r="B54" s="6">
        <v>0</v>
      </c>
      <c r="C54" s="6">
        <v>0</v>
      </c>
      <c r="D54" s="6">
        <v>0</v>
      </c>
      <c r="E54" s="6">
        <v>0</v>
      </c>
      <c r="F54" s="6">
        <v>0.3990067546700939</v>
      </c>
      <c r="G54" s="6">
        <v>0.232927821858709</v>
      </c>
      <c r="H54" s="6">
        <v>0</v>
      </c>
      <c r="I54" s="6">
        <v>0</v>
      </c>
      <c r="J54" s="6">
        <v>0</v>
      </c>
      <c r="K54" s="6">
        <v>0.3680654234711971</v>
      </c>
      <c r="L54" s="5">
        <f>SUMPRODUCT(B54:K54,S8_Solver!$B$4:$K$4)</f>
        <v>0</v>
      </c>
      <c r="M54" s="5">
        <f>SQRT(SUMPRODUCT(MMULT(B54:K54,S7_Cov!$B$2:$K$11),B54:K54))</f>
        <v>0</v>
      </c>
    </row>
    <row r="55" spans="1:13">
      <c r="A55">
        <v>54</v>
      </c>
      <c r="B55" s="6">
        <v>0</v>
      </c>
      <c r="C55" s="6">
        <v>0</v>
      </c>
      <c r="D55" s="6">
        <v>0</v>
      </c>
      <c r="E55" s="6">
        <v>0</v>
      </c>
      <c r="F55" s="6">
        <v>0.4173130524490593</v>
      </c>
      <c r="G55" s="6">
        <v>0.2365513863258363</v>
      </c>
      <c r="H55" s="6">
        <v>0</v>
      </c>
      <c r="I55" s="6">
        <v>0</v>
      </c>
      <c r="J55" s="6">
        <v>0</v>
      </c>
      <c r="K55" s="6">
        <v>0.3461355612251044</v>
      </c>
      <c r="L55" s="5">
        <f>SUMPRODUCT(B55:K55,S8_Solver!$B$4:$K$4)</f>
        <v>0</v>
      </c>
      <c r="M55" s="5">
        <f>SQRT(SUMPRODUCT(MMULT(B55:K55,S7_Cov!$B$2:$K$11),B55:K55))</f>
        <v>0</v>
      </c>
    </row>
    <row r="56" spans="1:13">
      <c r="A56">
        <v>55</v>
      </c>
      <c r="B56" s="6">
        <v>0</v>
      </c>
      <c r="C56" s="6">
        <v>0</v>
      </c>
      <c r="D56" s="6">
        <v>0</v>
      </c>
      <c r="E56" s="6">
        <v>0</v>
      </c>
      <c r="F56" s="6">
        <v>0.4356193479133046</v>
      </c>
      <c r="G56" s="6">
        <v>0.2401749579669068</v>
      </c>
      <c r="H56" s="6">
        <v>0</v>
      </c>
      <c r="I56" s="6">
        <v>0</v>
      </c>
      <c r="J56" s="6">
        <v>0</v>
      </c>
      <c r="K56" s="6">
        <v>0.3242056941197887</v>
      </c>
      <c r="L56" s="5">
        <f>SUMPRODUCT(B56:K56,S8_Solver!$B$4:$K$4)</f>
        <v>0</v>
      </c>
      <c r="M56" s="5">
        <f>SQRT(SUMPRODUCT(MMULT(B56:K56,S7_Cov!$B$2:$K$11),B56:K56))</f>
        <v>0</v>
      </c>
    </row>
    <row r="57" spans="1:13">
      <c r="A57">
        <v>56</v>
      </c>
      <c r="B57" s="6">
        <v>0</v>
      </c>
      <c r="C57" s="6">
        <v>0</v>
      </c>
      <c r="D57" s="6">
        <v>0</v>
      </c>
      <c r="E57" s="6">
        <v>0</v>
      </c>
      <c r="F57" s="6">
        <v>0.4539256453775939</v>
      </c>
      <c r="G57" s="6">
        <v>0.2437985234093</v>
      </c>
      <c r="H57" s="6">
        <v>0</v>
      </c>
      <c r="I57" s="6">
        <v>0</v>
      </c>
      <c r="J57" s="6">
        <v>0</v>
      </c>
      <c r="K57" s="6">
        <v>0.3022758312131062</v>
      </c>
      <c r="L57" s="5">
        <f>SUMPRODUCT(B57:K57,S8_Solver!$B$4:$K$4)</f>
        <v>0</v>
      </c>
      <c r="M57" s="5">
        <f>SQRT(SUMPRODUCT(MMULT(B57:K57,S7_Cov!$B$2:$K$11),B57:K57))</f>
        <v>0</v>
      </c>
    </row>
    <row r="58" spans="1:13">
      <c r="A58">
        <v>57</v>
      </c>
      <c r="B58" s="6">
        <v>0</v>
      </c>
      <c r="C58" s="6">
        <v>0</v>
      </c>
      <c r="D58" s="6">
        <v>0</v>
      </c>
      <c r="E58" s="6">
        <v>0</v>
      </c>
      <c r="F58" s="6">
        <v>0.4722319437594366</v>
      </c>
      <c r="G58" s="6">
        <v>0.2474220860079475</v>
      </c>
      <c r="H58" s="6">
        <v>0</v>
      </c>
      <c r="I58" s="6">
        <v>0</v>
      </c>
      <c r="J58" s="6">
        <v>0</v>
      </c>
      <c r="K58" s="6">
        <v>0.2803459702326159</v>
      </c>
      <c r="L58" s="5">
        <f>SUMPRODUCT(B58:K58,S8_Solver!$B$4:$K$4)</f>
        <v>0</v>
      </c>
      <c r="M58" s="5">
        <f>SQRT(SUMPRODUCT(MMULT(B58:K58,S7_Cov!$B$2:$K$11),B58:K58))</f>
        <v>0</v>
      </c>
    </row>
    <row r="59" spans="1:13">
      <c r="A59">
        <v>58</v>
      </c>
      <c r="B59" s="6">
        <v>0</v>
      </c>
      <c r="C59" s="6">
        <v>0</v>
      </c>
      <c r="D59" s="6">
        <v>0</v>
      </c>
      <c r="E59" s="6">
        <v>0</v>
      </c>
      <c r="F59" s="6">
        <v>0.490538237188502</v>
      </c>
      <c r="G59" s="6">
        <v>0.2510456639565907</v>
      </c>
      <c r="H59" s="6">
        <v>0</v>
      </c>
      <c r="I59" s="6">
        <v>0</v>
      </c>
      <c r="J59" s="6">
        <v>0</v>
      </c>
      <c r="K59" s="6">
        <v>0.2584160988549073</v>
      </c>
      <c r="L59" s="5">
        <f>SUMPRODUCT(B59:K59,S8_Solver!$B$4:$K$4)</f>
        <v>0</v>
      </c>
      <c r="M59" s="5">
        <f>SQRT(SUMPRODUCT(MMULT(B59:K59,S7_Cov!$B$2:$K$11),B59:K59))</f>
        <v>0</v>
      </c>
    </row>
    <row r="60" spans="1:13">
      <c r="A60">
        <v>59</v>
      </c>
      <c r="B60" s="6">
        <v>0</v>
      </c>
      <c r="C60" s="6">
        <v>0</v>
      </c>
      <c r="D60" s="6">
        <v>0</v>
      </c>
      <c r="E60" s="6">
        <v>0</v>
      </c>
      <c r="F60" s="6">
        <v>0.5088445344205762</v>
      </c>
      <c r="G60" s="6">
        <v>0.254669230118681</v>
      </c>
      <c r="H60" s="6">
        <v>0</v>
      </c>
      <c r="I60" s="6">
        <v>0</v>
      </c>
      <c r="J60" s="6">
        <v>0</v>
      </c>
      <c r="K60" s="6">
        <v>0.2364862354607427</v>
      </c>
      <c r="L60" s="5">
        <f>SUMPRODUCT(B60:K60,S8_Solver!$B$4:$K$4)</f>
        <v>0</v>
      </c>
      <c r="M60" s="5">
        <f>SQRT(SUMPRODUCT(MMULT(B60:K60,S7_Cov!$B$2:$K$11),B60:K60))</f>
        <v>0</v>
      </c>
    </row>
    <row r="61" spans="1:13">
      <c r="A61">
        <v>60</v>
      </c>
      <c r="B61" s="6">
        <v>0</v>
      </c>
      <c r="C61" s="6">
        <v>0</v>
      </c>
      <c r="D61" s="6">
        <v>0</v>
      </c>
      <c r="E61" s="6">
        <v>0</v>
      </c>
      <c r="F61" s="6">
        <v>0.5271508321240976</v>
      </c>
      <c r="G61" s="6">
        <v>0.2582927948196299</v>
      </c>
      <c r="H61" s="6">
        <v>0</v>
      </c>
      <c r="I61" s="6">
        <v>0</v>
      </c>
      <c r="J61" s="6">
        <v>0</v>
      </c>
      <c r="K61" s="6">
        <v>0.2145563730562726</v>
      </c>
      <c r="L61" s="5">
        <f>SUMPRODUCT(B61:K61,S8_Solver!$B$4:$K$4)</f>
        <v>0</v>
      </c>
      <c r="M61" s="5">
        <f>SQRT(SUMPRODUCT(MMULT(B61:K61,S7_Cov!$B$2:$K$11),B61:K61))</f>
        <v>0</v>
      </c>
    </row>
    <row r="62" spans="1:13">
      <c r="A62">
        <v>61</v>
      </c>
      <c r="B62" s="6">
        <v>0</v>
      </c>
      <c r="C62" s="6">
        <v>0</v>
      </c>
      <c r="D62" s="6">
        <v>0</v>
      </c>
      <c r="E62" s="6">
        <v>0</v>
      </c>
      <c r="F62" s="6">
        <v>0.5454571259553126</v>
      </c>
      <c r="G62" s="6">
        <v>0.2619163715219038</v>
      </c>
      <c r="H62" s="6">
        <v>0</v>
      </c>
      <c r="I62" s="6">
        <v>0</v>
      </c>
      <c r="J62" s="6">
        <v>0</v>
      </c>
      <c r="K62" s="6">
        <v>0.1926265025227837</v>
      </c>
      <c r="L62" s="5">
        <f>SUMPRODUCT(B62:K62,S8_Solver!$B$4:$K$4)</f>
        <v>0</v>
      </c>
      <c r="M62" s="5">
        <f>SQRT(SUMPRODUCT(MMULT(B62:K62,S7_Cov!$B$2:$K$11),B62:K62))</f>
        <v>0</v>
      </c>
    </row>
    <row r="63" spans="1:13">
      <c r="A63">
        <v>62</v>
      </c>
      <c r="B63" s="6">
        <v>0</v>
      </c>
      <c r="C63" s="6">
        <v>0</v>
      </c>
      <c r="D63" s="6">
        <v>0</v>
      </c>
      <c r="E63" s="6">
        <v>0</v>
      </c>
      <c r="F63" s="6">
        <v>0.5637634219810473</v>
      </c>
      <c r="G63" s="6">
        <v>0.2655399414227658</v>
      </c>
      <c r="H63" s="6">
        <v>0</v>
      </c>
      <c r="I63" s="6">
        <v>0</v>
      </c>
      <c r="J63" s="6">
        <v>0</v>
      </c>
      <c r="K63" s="6">
        <v>0.1706966365961868</v>
      </c>
      <c r="L63" s="5">
        <f>SUMPRODUCT(B63:K63,S8_Solver!$B$4:$K$4)</f>
        <v>0</v>
      </c>
      <c r="M63" s="5">
        <f>SQRT(SUMPRODUCT(MMULT(B63:K63,S7_Cov!$B$2:$K$11),B63:K63))</f>
        <v>0</v>
      </c>
    </row>
    <row r="64" spans="1:13">
      <c r="A64">
        <v>63</v>
      </c>
      <c r="B64" s="6">
        <v>0</v>
      </c>
      <c r="C64" s="6">
        <v>0</v>
      </c>
      <c r="D64" s="6">
        <v>0</v>
      </c>
      <c r="E64" s="6">
        <v>0</v>
      </c>
      <c r="F64" s="6">
        <v>0.5820697188452854</v>
      </c>
      <c r="G64" s="6">
        <v>0.2691635087248812</v>
      </c>
      <c r="H64" s="6">
        <v>0</v>
      </c>
      <c r="I64" s="6">
        <v>0</v>
      </c>
      <c r="J64" s="6">
        <v>0</v>
      </c>
      <c r="K64" s="6">
        <v>0.1487667724298335</v>
      </c>
      <c r="L64" s="5">
        <f>SUMPRODUCT(B64:K64,S8_Solver!$B$4:$K$4)</f>
        <v>0</v>
      </c>
      <c r="M64" s="5">
        <f>SQRT(SUMPRODUCT(MMULT(B64:K64,S7_Cov!$B$2:$K$11),B64:K64))</f>
        <v>0</v>
      </c>
    </row>
    <row r="65" spans="1:13">
      <c r="A65">
        <v>64</v>
      </c>
      <c r="B65" s="6">
        <v>0</v>
      </c>
      <c r="C65" s="6">
        <v>0</v>
      </c>
      <c r="D65" s="6">
        <v>0</v>
      </c>
      <c r="E65" s="6">
        <v>0</v>
      </c>
      <c r="F65" s="6">
        <v>0.6003760152543222</v>
      </c>
      <c r="G65" s="6">
        <v>0.2727870774377866</v>
      </c>
      <c r="H65" s="6">
        <v>0</v>
      </c>
      <c r="I65" s="6">
        <v>0</v>
      </c>
      <c r="J65" s="6">
        <v>0</v>
      </c>
      <c r="K65" s="6">
        <v>0.1268369073078912</v>
      </c>
      <c r="L65" s="5">
        <f>SUMPRODUCT(B65:K65,S8_Solver!$B$4:$K$4)</f>
        <v>0</v>
      </c>
      <c r="M65" s="5">
        <f>SQRT(SUMPRODUCT(MMULT(B65:K65,S7_Cov!$B$2:$K$11),B65:K65))</f>
        <v>0</v>
      </c>
    </row>
    <row r="66" spans="1:13">
      <c r="A66">
        <v>65</v>
      </c>
      <c r="B66" s="6">
        <v>0</v>
      </c>
      <c r="C66" s="6">
        <v>0</v>
      </c>
      <c r="D66" s="6">
        <v>0</v>
      </c>
      <c r="E66" s="6">
        <v>0</v>
      </c>
      <c r="F66" s="6">
        <v>0.6186823095276903</v>
      </c>
      <c r="G66" s="6">
        <v>0.2764106527697071</v>
      </c>
      <c r="H66" s="6">
        <v>0</v>
      </c>
      <c r="I66" s="6">
        <v>0</v>
      </c>
      <c r="J66" s="6">
        <v>0</v>
      </c>
      <c r="K66" s="6">
        <v>0.1049070377026026</v>
      </c>
      <c r="L66" s="5">
        <f>SUMPRODUCT(B66:K66,S8_Solver!$B$4:$K$4)</f>
        <v>0</v>
      </c>
      <c r="M66" s="5">
        <f>SQRT(SUMPRODUCT(MMULT(B66:K66,S7_Cov!$B$2:$K$11),B66:K66))</f>
        <v>0</v>
      </c>
    </row>
    <row r="67" spans="1:13">
      <c r="A67">
        <v>66</v>
      </c>
      <c r="B67" s="6">
        <v>0</v>
      </c>
      <c r="C67" s="6">
        <v>0</v>
      </c>
      <c r="D67" s="6">
        <v>0</v>
      </c>
      <c r="E67" s="6">
        <v>0</v>
      </c>
      <c r="F67" s="6">
        <v>0.6369886094887672</v>
      </c>
      <c r="G67" s="6">
        <v>0.2800342104738813</v>
      </c>
      <c r="H67" s="6">
        <v>0</v>
      </c>
      <c r="I67" s="6">
        <v>0</v>
      </c>
      <c r="J67" s="6">
        <v>0</v>
      </c>
      <c r="K67" s="6">
        <v>0.08297718003735151</v>
      </c>
      <c r="L67" s="5">
        <f>SUMPRODUCT(B67:K67,S8_Solver!$B$4:$K$4)</f>
        <v>0</v>
      </c>
      <c r="M67" s="5">
        <f>SQRT(SUMPRODUCT(MMULT(B67:K67,S7_Cov!$B$2:$K$11),B67:K67))</f>
        <v>0</v>
      </c>
    </row>
    <row r="68" spans="1:13">
      <c r="A68">
        <v>67</v>
      </c>
      <c r="B68" s="6">
        <v>0</v>
      </c>
      <c r="C68" s="6">
        <v>0</v>
      </c>
      <c r="D68" s="6">
        <v>0</v>
      </c>
      <c r="E68" s="6">
        <v>0</v>
      </c>
      <c r="F68" s="6">
        <v>0.6552949037777703</v>
      </c>
      <c r="G68" s="6">
        <v>0.2836577857573453</v>
      </c>
      <c r="H68" s="6">
        <v>0</v>
      </c>
      <c r="I68" s="6">
        <v>0</v>
      </c>
      <c r="J68" s="6">
        <v>0</v>
      </c>
      <c r="K68" s="6">
        <v>0.06104731046488446</v>
      </c>
      <c r="L68" s="5">
        <f>SUMPRODUCT(B68:K68,S8_Solver!$B$4:$K$4)</f>
        <v>0</v>
      </c>
      <c r="M68" s="5">
        <f>SQRT(SUMPRODUCT(MMULT(B68:K68,S7_Cov!$B$2:$K$11),B68:K68))</f>
        <v>0</v>
      </c>
    </row>
    <row r="69" spans="1:13">
      <c r="A69">
        <v>68</v>
      </c>
      <c r="B69" s="6">
        <v>0</v>
      </c>
      <c r="C69" s="6">
        <v>0</v>
      </c>
      <c r="D69" s="6">
        <v>0</v>
      </c>
      <c r="E69" s="6">
        <v>0</v>
      </c>
      <c r="F69" s="6">
        <v>0.6736011983256204</v>
      </c>
      <c r="G69" s="6">
        <v>0.2872813602385726</v>
      </c>
      <c r="H69" s="6">
        <v>0</v>
      </c>
      <c r="I69" s="6">
        <v>0</v>
      </c>
      <c r="J69" s="6">
        <v>0</v>
      </c>
      <c r="K69" s="6">
        <v>0.03911744143580703</v>
      </c>
      <c r="L69" s="5">
        <f>SUMPRODUCT(B69:K69,S8_Solver!$B$4:$K$4)</f>
        <v>0</v>
      </c>
      <c r="M69" s="5">
        <f>SQRT(SUMPRODUCT(MMULT(B69:K69,S7_Cov!$B$2:$K$11),B69:K69))</f>
        <v>0</v>
      </c>
    </row>
    <row r="70" spans="1:13">
      <c r="A70">
        <v>69</v>
      </c>
      <c r="B70" s="6">
        <v>0</v>
      </c>
      <c r="C70" s="6">
        <v>0</v>
      </c>
      <c r="D70" s="6">
        <v>0</v>
      </c>
      <c r="E70" s="6">
        <v>0</v>
      </c>
      <c r="F70" s="6">
        <v>0.6919074925713753</v>
      </c>
      <c r="G70" s="6">
        <v>0.2909049356560735</v>
      </c>
      <c r="H70" s="6">
        <v>0</v>
      </c>
      <c r="I70" s="6">
        <v>0</v>
      </c>
      <c r="J70" s="6">
        <v>0</v>
      </c>
      <c r="K70" s="6">
        <v>0.01718757177255133</v>
      </c>
      <c r="L70" s="5">
        <f>SUMPRODUCT(B70:K70,S8_Solver!$B$4:$K$4)</f>
        <v>0</v>
      </c>
      <c r="M70" s="5">
        <f>SQRT(SUMPRODUCT(MMULT(B70:K70,S7_Cov!$B$2:$K$11),B70:K70))</f>
        <v>0</v>
      </c>
    </row>
    <row r="71" spans="1:13">
      <c r="A71">
        <v>70</v>
      </c>
      <c r="B71" s="6">
        <v>0</v>
      </c>
      <c r="C71" s="6">
        <v>0</v>
      </c>
      <c r="D71" s="6">
        <v>0</v>
      </c>
      <c r="E71" s="6">
        <v>0</v>
      </c>
      <c r="F71" s="6">
        <v>0.7124728088444463</v>
      </c>
      <c r="G71" s="6">
        <v>0.2875271911555537</v>
      </c>
      <c r="H71" s="6">
        <v>0</v>
      </c>
      <c r="I71" s="6">
        <v>0</v>
      </c>
      <c r="J71" s="6">
        <v>0</v>
      </c>
      <c r="K71" s="6">
        <v>0</v>
      </c>
      <c r="L71" s="5">
        <f>SUMPRODUCT(B71:K71,S8_Solver!$B$4:$K$4)</f>
        <v>0</v>
      </c>
      <c r="M71" s="5">
        <f>SQRT(SUMPRODUCT(MMULT(B71:K71,S7_Cov!$B$2:$K$11),B71:K71))</f>
        <v>0</v>
      </c>
    </row>
    <row r="72" spans="1:13">
      <c r="A72">
        <v>71</v>
      </c>
      <c r="B72" s="6">
        <v>0</v>
      </c>
      <c r="C72" s="6">
        <v>0</v>
      </c>
      <c r="D72" s="6">
        <v>0</v>
      </c>
      <c r="E72" s="6">
        <v>0</v>
      </c>
      <c r="F72" s="6">
        <v>0.7412255279600016</v>
      </c>
      <c r="G72" s="6">
        <v>0.2587744720399984</v>
      </c>
      <c r="H72" s="6">
        <v>0</v>
      </c>
      <c r="I72" s="6">
        <v>0</v>
      </c>
      <c r="J72" s="6">
        <v>0</v>
      </c>
      <c r="K72" s="6">
        <v>0</v>
      </c>
      <c r="L72" s="5">
        <f>SUMPRODUCT(B72:K72,S8_Solver!$B$4:$K$4)</f>
        <v>0</v>
      </c>
      <c r="M72" s="5">
        <f>SQRT(SUMPRODUCT(MMULT(B72:K72,S7_Cov!$B$2:$K$11),B72:K72))</f>
        <v>0</v>
      </c>
    </row>
    <row r="73" spans="1:13">
      <c r="A73">
        <v>72</v>
      </c>
      <c r="B73" s="6">
        <v>0</v>
      </c>
      <c r="C73" s="6">
        <v>0</v>
      </c>
      <c r="D73" s="6">
        <v>0</v>
      </c>
      <c r="E73" s="6">
        <v>0</v>
      </c>
      <c r="F73" s="6">
        <v>0.7699782470755572</v>
      </c>
      <c r="G73" s="6">
        <v>0.2300217529244429</v>
      </c>
      <c r="H73" s="6">
        <v>0</v>
      </c>
      <c r="I73" s="6">
        <v>0</v>
      </c>
      <c r="J73" s="6">
        <v>0</v>
      </c>
      <c r="K73" s="6">
        <v>0</v>
      </c>
      <c r="L73" s="5">
        <f>SUMPRODUCT(B73:K73,S8_Solver!$B$4:$K$4)</f>
        <v>0</v>
      </c>
      <c r="M73" s="5">
        <f>SQRT(SUMPRODUCT(MMULT(B73:K73,S7_Cov!$B$2:$K$11),B73:K73))</f>
        <v>0</v>
      </c>
    </row>
    <row r="74" spans="1:13">
      <c r="A74">
        <v>73</v>
      </c>
      <c r="B74" s="6">
        <v>0</v>
      </c>
      <c r="C74" s="6">
        <v>0</v>
      </c>
      <c r="D74" s="6">
        <v>0</v>
      </c>
      <c r="E74" s="6">
        <v>0</v>
      </c>
      <c r="F74" s="6">
        <v>0.7987309661911127</v>
      </c>
      <c r="G74" s="6">
        <v>0.2012690338088872</v>
      </c>
      <c r="H74" s="6">
        <v>0</v>
      </c>
      <c r="I74" s="6">
        <v>0</v>
      </c>
      <c r="J74" s="6">
        <v>0</v>
      </c>
      <c r="K74" s="6">
        <v>0</v>
      </c>
      <c r="L74" s="5">
        <f>SUMPRODUCT(B74:K74,S8_Solver!$B$4:$K$4)</f>
        <v>0</v>
      </c>
      <c r="M74" s="5">
        <f>SQRT(SUMPRODUCT(MMULT(B74:K74,S7_Cov!$B$2:$K$11),B74:K74))</f>
        <v>0</v>
      </c>
    </row>
    <row r="75" spans="1:13">
      <c r="A75">
        <v>74</v>
      </c>
      <c r="B75" s="6">
        <v>0</v>
      </c>
      <c r="C75" s="6">
        <v>0</v>
      </c>
      <c r="D75" s="6">
        <v>0</v>
      </c>
      <c r="E75" s="6">
        <v>0</v>
      </c>
      <c r="F75" s="6">
        <v>0.827483685306667</v>
      </c>
      <c r="G75" s="6">
        <v>0.172516314693333</v>
      </c>
      <c r="H75" s="6">
        <v>0</v>
      </c>
      <c r="I75" s="6">
        <v>0</v>
      </c>
      <c r="J75" s="6">
        <v>0</v>
      </c>
      <c r="K75" s="6">
        <v>0</v>
      </c>
      <c r="L75" s="5">
        <f>SUMPRODUCT(B75:K75,S8_Solver!$B$4:$K$4)</f>
        <v>0</v>
      </c>
      <c r="M75" s="5">
        <f>SQRT(SUMPRODUCT(MMULT(B75:K75,S7_Cov!$B$2:$K$11),B75:K75))</f>
        <v>0</v>
      </c>
    </row>
    <row r="76" spans="1:13">
      <c r="A76">
        <v>75</v>
      </c>
      <c r="B76" s="6">
        <v>0</v>
      </c>
      <c r="C76" s="6">
        <v>0</v>
      </c>
      <c r="D76" s="6">
        <v>0</v>
      </c>
      <c r="E76" s="6">
        <v>0</v>
      </c>
      <c r="F76" s="6">
        <v>0.8562364044222229</v>
      </c>
      <c r="G76" s="6">
        <v>0.143763595577777</v>
      </c>
      <c r="H76" s="6">
        <v>0</v>
      </c>
      <c r="I76" s="6">
        <v>0</v>
      </c>
      <c r="J76" s="6">
        <v>0</v>
      </c>
      <c r="K76" s="6">
        <v>0</v>
      </c>
      <c r="L76" s="5">
        <f>SUMPRODUCT(B76:K76,S8_Solver!$B$4:$K$4)</f>
        <v>0</v>
      </c>
      <c r="M76" s="5">
        <f>SQRT(SUMPRODUCT(MMULT(B76:K76,S7_Cov!$B$2:$K$11),B76:K76))</f>
        <v>0</v>
      </c>
    </row>
    <row r="77" spans="1:13">
      <c r="A77">
        <v>76</v>
      </c>
      <c r="B77" s="6">
        <v>0</v>
      </c>
      <c r="C77" s="6">
        <v>0</v>
      </c>
      <c r="D77" s="6">
        <v>0</v>
      </c>
      <c r="E77" s="6">
        <v>0</v>
      </c>
      <c r="F77" s="6">
        <v>0.8849891235377779</v>
      </c>
      <c r="G77" s="6">
        <v>0.1150108764622221</v>
      </c>
      <c r="H77" s="6">
        <v>0</v>
      </c>
      <c r="I77" s="6">
        <v>0</v>
      </c>
      <c r="J77" s="6">
        <v>0</v>
      </c>
      <c r="K77" s="6">
        <v>0</v>
      </c>
      <c r="L77" s="5">
        <f>SUMPRODUCT(B77:K77,S8_Solver!$B$4:$K$4)</f>
        <v>0</v>
      </c>
      <c r="M77" s="5">
        <f>SQRT(SUMPRODUCT(MMULT(B77:K77,S7_Cov!$B$2:$K$11),B77:K77))</f>
        <v>0</v>
      </c>
    </row>
    <row r="78" spans="1:13">
      <c r="A78">
        <v>77</v>
      </c>
      <c r="B78" s="6">
        <v>0</v>
      </c>
      <c r="C78" s="6">
        <v>0</v>
      </c>
      <c r="D78" s="6">
        <v>0</v>
      </c>
      <c r="E78" s="6">
        <v>0</v>
      </c>
      <c r="F78" s="6">
        <v>0.9137418426533331</v>
      </c>
      <c r="G78" s="6">
        <v>0.08625815734666681</v>
      </c>
      <c r="H78" s="6">
        <v>0</v>
      </c>
      <c r="I78" s="6">
        <v>0</v>
      </c>
      <c r="J78" s="6">
        <v>0</v>
      </c>
      <c r="K78" s="6">
        <v>0</v>
      </c>
      <c r="L78" s="5">
        <f>SUMPRODUCT(B78:K78,S8_Solver!$B$4:$K$4)</f>
        <v>0</v>
      </c>
      <c r="M78" s="5">
        <f>SQRT(SUMPRODUCT(MMULT(B78:K78,S7_Cov!$B$2:$K$11),B78:K78))</f>
        <v>0</v>
      </c>
    </row>
    <row r="79" spans="1:13">
      <c r="A79">
        <v>78</v>
      </c>
      <c r="B79" s="6">
        <v>0</v>
      </c>
      <c r="C79" s="6">
        <v>0</v>
      </c>
      <c r="D79" s="6">
        <v>0</v>
      </c>
      <c r="E79" s="6">
        <v>0</v>
      </c>
      <c r="F79" s="6">
        <v>0.9424945617688884</v>
      </c>
      <c r="G79" s="6">
        <v>0.05750543823111156</v>
      </c>
      <c r="H79" s="6">
        <v>0</v>
      </c>
      <c r="I79" s="6">
        <v>0</v>
      </c>
      <c r="J79" s="6">
        <v>0</v>
      </c>
      <c r="K79" s="6">
        <v>0</v>
      </c>
      <c r="L79" s="5">
        <f>SUMPRODUCT(B79:K79,S8_Solver!$B$4:$K$4)</f>
        <v>0</v>
      </c>
      <c r="M79" s="5">
        <f>SQRT(SUMPRODUCT(MMULT(B79:K79,S7_Cov!$B$2:$K$11),B79:K79))</f>
        <v>0</v>
      </c>
    </row>
    <row r="80" spans="1:13">
      <c r="A80">
        <v>79</v>
      </c>
      <c r="B80" s="6">
        <v>0</v>
      </c>
      <c r="C80" s="6">
        <v>0</v>
      </c>
      <c r="D80" s="6">
        <v>0</v>
      </c>
      <c r="E80" s="6">
        <v>0</v>
      </c>
      <c r="F80" s="6">
        <v>0.9712472808844438</v>
      </c>
      <c r="G80" s="6">
        <v>0.02875271911555622</v>
      </c>
      <c r="H80" s="6">
        <v>0</v>
      </c>
      <c r="I80" s="6">
        <v>0</v>
      </c>
      <c r="J80" s="6">
        <v>0</v>
      </c>
      <c r="K80" s="6">
        <v>0</v>
      </c>
      <c r="L80" s="5">
        <f>SUMPRODUCT(B80:K80,S8_Solver!$B$4:$K$4)</f>
        <v>0</v>
      </c>
      <c r="M80" s="5">
        <f>SQRT(SUMPRODUCT(MMULT(B80:K80,S7_Cov!$B$2:$K$11),B80:K80))</f>
        <v>0</v>
      </c>
    </row>
    <row r="81" spans="1:13">
      <c r="A81">
        <v>80</v>
      </c>
      <c r="B81" s="6">
        <v>0</v>
      </c>
      <c r="C81" s="6">
        <v>0</v>
      </c>
      <c r="D81" s="6">
        <v>0</v>
      </c>
      <c r="E81" s="6">
        <v>0</v>
      </c>
      <c r="F81" s="6">
        <v>1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5">
        <f>SUMPRODUCT(B81:K81,S8_Solver!$B$4:$K$4)</f>
        <v>0</v>
      </c>
      <c r="M81" s="5">
        <f>SQRT(SUMPRODUCT(MMULT(B81:K81,S7_Cov!$B$2:$K$11),B81:K81))</f>
        <v>0</v>
      </c>
    </row>
    <row r="84" spans="1:13">
      <c r="A84" s="4" t="s">
        <v>62</v>
      </c>
      <c r="B84" s="4" t="s">
        <v>43</v>
      </c>
      <c r="C84" s="4" t="s">
        <v>41</v>
      </c>
    </row>
    <row r="85" spans="1:13">
      <c r="A85" t="s">
        <v>63</v>
      </c>
      <c r="B85" s="5">
        <f>S8_Solver!B12</f>
        <v>0</v>
      </c>
      <c r="C85" s="5">
        <f>S8_Solver!B10</f>
        <v>0</v>
      </c>
    </row>
    <row r="86" spans="1:13">
      <c r="A86" t="s">
        <v>64</v>
      </c>
      <c r="B86" s="5">
        <f>S8_Solver!B18</f>
        <v>0</v>
      </c>
      <c r="C86" s="5">
        <f>S8_Solver!B16</f>
        <v>0</v>
      </c>
    </row>
    <row r="87" spans="1:13">
      <c r="A87" t="s">
        <v>65</v>
      </c>
      <c r="B87" s="5">
        <f>S8_Solver!B27</f>
        <v>0</v>
      </c>
      <c r="C87" s="5">
        <f>S8_Solver!B26</f>
        <v>0</v>
      </c>
    </row>
    <row r="88" spans="1:13">
      <c r="A88" t="s">
        <v>66</v>
      </c>
      <c r="B88" s="5">
        <f>0</f>
        <v>0</v>
      </c>
      <c r="C88" s="5">
        <f>S8_Solver!B6</f>
        <v>0</v>
      </c>
    </row>
    <row r="89" spans="1:13">
      <c r="A89" t="s">
        <v>67</v>
      </c>
      <c r="B89" s="5">
        <f>1.7*S8_Solver!B18</f>
        <v>0</v>
      </c>
      <c r="C89" s="5">
        <f>S8_Solver!B6+1.7*(S8_Solver!B16-S8_Solver!B6)</f>
        <v>0</v>
      </c>
    </row>
    <row r="90" spans="1:13">
      <c r="A90" t="s">
        <v>1</v>
      </c>
      <c r="B90" s="5">
        <f>S6_Returns!B65</f>
        <v>0</v>
      </c>
      <c r="C90" s="5">
        <f>S6_Returns!B64</f>
        <v>0</v>
      </c>
    </row>
    <row r="91" spans="1:13">
      <c r="A91" t="s">
        <v>2</v>
      </c>
      <c r="B91" s="5">
        <f>S6_Returns!C65</f>
        <v>0</v>
      </c>
      <c r="C91" s="5">
        <f>S6_Returns!C64</f>
        <v>0</v>
      </c>
    </row>
    <row r="92" spans="1:13">
      <c r="A92" t="s">
        <v>3</v>
      </c>
      <c r="B92" s="5">
        <f>S6_Returns!D65</f>
        <v>0</v>
      </c>
      <c r="C92" s="5">
        <f>S6_Returns!D64</f>
        <v>0</v>
      </c>
    </row>
    <row r="93" spans="1:13">
      <c r="A93" t="s">
        <v>4</v>
      </c>
      <c r="B93" s="5">
        <f>S6_Returns!E65</f>
        <v>0</v>
      </c>
      <c r="C93" s="5">
        <f>S6_Returns!E64</f>
        <v>0</v>
      </c>
    </row>
    <row r="94" spans="1:13">
      <c r="A94" t="s">
        <v>5</v>
      </c>
      <c r="B94" s="5">
        <f>S6_Returns!F65</f>
        <v>0</v>
      </c>
      <c r="C94" s="5">
        <f>S6_Returns!F64</f>
        <v>0</v>
      </c>
    </row>
    <row r="95" spans="1:13">
      <c r="A95" t="s">
        <v>6</v>
      </c>
      <c r="B95" s="5">
        <f>S6_Returns!G65</f>
        <v>0</v>
      </c>
      <c r="C95" s="5">
        <f>S6_Returns!G64</f>
        <v>0</v>
      </c>
    </row>
    <row r="96" spans="1:13">
      <c r="A96" t="s">
        <v>7</v>
      </c>
      <c r="B96" s="5">
        <f>S6_Returns!H65</f>
        <v>0</v>
      </c>
      <c r="C96" s="5">
        <f>S6_Returns!H64</f>
        <v>0</v>
      </c>
    </row>
    <row r="97" spans="1:3">
      <c r="A97" t="s">
        <v>8</v>
      </c>
      <c r="B97" s="5">
        <f>S6_Returns!I65</f>
        <v>0</v>
      </c>
      <c r="C97" s="5">
        <f>S6_Returns!I64</f>
        <v>0</v>
      </c>
    </row>
    <row r="98" spans="1:3">
      <c r="A98" t="s">
        <v>9</v>
      </c>
      <c r="B98" s="5">
        <f>S6_Returns!J65</f>
        <v>0</v>
      </c>
      <c r="C98" s="5">
        <f>S6_Returns!J64</f>
        <v>0</v>
      </c>
    </row>
    <row r="99" spans="1:3">
      <c r="A99" t="s">
        <v>10</v>
      </c>
      <c r="B99" s="5">
        <f>S6_Returns!K65</f>
        <v>0</v>
      </c>
      <c r="C99" s="5">
        <f>S6_Returns!K64</f>
        <v>0</v>
      </c>
    </row>
    <row r="101" spans="1:3">
      <c r="A101" s="2" t="s">
        <v>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</v>
      </c>
    </row>
    <row r="2" spans="1:1">
      <c r="A2" s="2" t="s">
        <v>126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W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M1" s="2" t="s">
        <v>11</v>
      </c>
      <c r="N1" s="4" t="s">
        <v>1</v>
      </c>
      <c r="O1" s="4" t="s">
        <v>2</v>
      </c>
      <c r="P1" s="4" t="s">
        <v>3</v>
      </c>
      <c r="Q1" s="4" t="s">
        <v>4</v>
      </c>
      <c r="R1" s="4" t="s">
        <v>5</v>
      </c>
      <c r="S1" s="4" t="s">
        <v>6</v>
      </c>
      <c r="T1" s="4" t="s">
        <v>7</v>
      </c>
      <c r="U1" s="4" t="s">
        <v>8</v>
      </c>
      <c r="V1" s="4" t="s">
        <v>9</v>
      </c>
      <c r="W1" s="4" t="s">
        <v>10</v>
      </c>
    </row>
    <row r="2" spans="1:23">
      <c r="A2" s="8">
        <v>44196</v>
      </c>
      <c r="B2" s="9">
        <v>346.3032836914062</v>
      </c>
      <c r="C2" s="9">
        <v>183.1297912597656</v>
      </c>
      <c r="D2" s="9">
        <v>39.81315612792969</v>
      </c>
      <c r="E2" s="9">
        <v>42.51847839355469</v>
      </c>
      <c r="F2" s="9">
        <v>15.38214683532715</v>
      </c>
      <c r="G2" s="9">
        <v>303.4287109375</v>
      </c>
      <c r="H2" s="9">
        <v>98.84398651123048</v>
      </c>
      <c r="I2" s="9">
        <v>101.7430725097656</v>
      </c>
      <c r="J2" s="9">
        <v>63.85843658447266</v>
      </c>
      <c r="K2" s="9">
        <v>178.3600006103516</v>
      </c>
      <c r="N2" s="9">
        <v>373.8800048828125</v>
      </c>
      <c r="O2" s="9">
        <v>196.0599975585938</v>
      </c>
      <c r="P2" s="9">
        <v>47.20999908447266</v>
      </c>
      <c r="Q2" s="9">
        <v>50.11000061035156</v>
      </c>
      <c r="R2" s="9">
        <v>18.95000076293945</v>
      </c>
      <c r="S2" s="9">
        <v>313.739990234375</v>
      </c>
      <c r="T2" s="9">
        <v>118.1900024414062</v>
      </c>
      <c r="U2" s="9">
        <v>127.6500015258789</v>
      </c>
      <c r="V2" s="9">
        <v>87.30000305175781</v>
      </c>
      <c r="W2" s="9">
        <v>178.3600006103516</v>
      </c>
    </row>
    <row r="3" spans="1:23">
      <c r="A3" s="8">
        <v>44227</v>
      </c>
      <c r="B3" s="9">
        <v>342.7742614746094</v>
      </c>
      <c r="C3" s="9">
        <v>192.0032958984375</v>
      </c>
      <c r="D3" s="9">
        <v>39.52642822265625</v>
      </c>
      <c r="E3" s="9">
        <v>43.85062408447266</v>
      </c>
      <c r="F3" s="9">
        <v>15.95846462249756</v>
      </c>
      <c r="G3" s="9">
        <v>304.2217407226562</v>
      </c>
      <c r="H3" s="9">
        <v>98.10807800292967</v>
      </c>
      <c r="I3" s="9">
        <v>102.0140609741211</v>
      </c>
      <c r="J3" s="9">
        <v>63.61708068847656</v>
      </c>
      <c r="K3" s="9">
        <v>172.6100006103516</v>
      </c>
      <c r="N3" s="9">
        <v>370.0700073242187</v>
      </c>
      <c r="O3" s="9">
        <v>205.5599975585938</v>
      </c>
      <c r="P3" s="9">
        <v>46.86999893188477</v>
      </c>
      <c r="Q3" s="9">
        <v>51.68000030517578</v>
      </c>
      <c r="R3" s="9">
        <v>19.65999984741211</v>
      </c>
      <c r="S3" s="9">
        <v>314.5599975585938</v>
      </c>
      <c r="T3" s="9">
        <v>117.3099975585938</v>
      </c>
      <c r="U3" s="9">
        <v>127.9899978637695</v>
      </c>
      <c r="V3" s="9">
        <v>86.97000122070312</v>
      </c>
      <c r="W3" s="9">
        <v>172.6100006103516</v>
      </c>
    </row>
    <row r="4" spans="1:23">
      <c r="A4" s="8">
        <v>44255</v>
      </c>
      <c r="B4" s="9">
        <v>352.3053283691406</v>
      </c>
      <c r="C4" s="9">
        <v>203.9124145507812</v>
      </c>
      <c r="D4" s="9">
        <v>40.48780822753906</v>
      </c>
      <c r="E4" s="9">
        <v>44.53791809082031</v>
      </c>
      <c r="F4" s="9">
        <v>19.5422248840332</v>
      </c>
      <c r="G4" s="9">
        <v>303.8156127929688</v>
      </c>
      <c r="H4" s="9">
        <v>96.61865234375</v>
      </c>
      <c r="I4" s="9">
        <v>100.2924270629883</v>
      </c>
      <c r="J4" s="9">
        <v>63.4614372253418</v>
      </c>
      <c r="K4" s="9">
        <v>161.8099975585938</v>
      </c>
      <c r="N4" s="9">
        <v>380.3599853515625</v>
      </c>
      <c r="O4" s="9">
        <v>218.3099975585938</v>
      </c>
      <c r="P4" s="9">
        <v>48.0099983215332</v>
      </c>
      <c r="Q4" s="9">
        <v>52.4900016784668</v>
      </c>
      <c r="R4" s="9">
        <v>24.07500076293945</v>
      </c>
      <c r="S4" s="9">
        <v>314.1400146484375</v>
      </c>
      <c r="T4" s="9">
        <v>115.3399963378906</v>
      </c>
      <c r="U4" s="9">
        <v>125.8300018310547</v>
      </c>
      <c r="V4" s="9">
        <v>86.44000244140625</v>
      </c>
      <c r="W4" s="9">
        <v>161.8099975585938</v>
      </c>
    </row>
    <row r="5" spans="1:23">
      <c r="A5" s="8">
        <v>44286</v>
      </c>
      <c r="B5" s="9">
        <v>368.2997131347656</v>
      </c>
      <c r="C5" s="9">
        <v>206.7570343017578</v>
      </c>
      <c r="D5" s="9">
        <v>41.60870361328125</v>
      </c>
      <c r="E5" s="9">
        <v>44.22151184082031</v>
      </c>
      <c r="F5" s="9">
        <v>20.12282562255859</v>
      </c>
      <c r="G5" s="9">
        <v>309.0313415527344</v>
      </c>
      <c r="H5" s="9">
        <v>95.51105499267578</v>
      </c>
      <c r="I5" s="9">
        <v>100.029426574707</v>
      </c>
      <c r="J5" s="9">
        <v>64.23285675048828</v>
      </c>
      <c r="K5" s="9">
        <v>159.9600067138672</v>
      </c>
      <c r="N5" s="9">
        <v>396.3299865722656</v>
      </c>
      <c r="O5" s="9">
        <v>220.9400024414062</v>
      </c>
      <c r="P5" s="9">
        <v>49.11000061035156</v>
      </c>
      <c r="Q5" s="9">
        <v>52.04999923706055</v>
      </c>
      <c r="R5" s="9">
        <v>24.53000068664551</v>
      </c>
      <c r="S5" s="9">
        <v>319.1300048828125</v>
      </c>
      <c r="T5" s="9">
        <v>113.8300018310547</v>
      </c>
      <c r="U5" s="9">
        <v>125.5</v>
      </c>
      <c r="V5" s="9">
        <v>87.18000030517578</v>
      </c>
      <c r="W5" s="9">
        <v>159.9600067138672</v>
      </c>
    </row>
    <row r="6" spans="1:23">
      <c r="A6" s="8">
        <v>44316</v>
      </c>
      <c r="B6" s="9">
        <v>387.78662109375</v>
      </c>
      <c r="C6" s="9">
        <v>210.4535217285156</v>
      </c>
      <c r="D6" s="9">
        <v>42.87958145141602</v>
      </c>
      <c r="E6" s="9">
        <v>45.01164245605469</v>
      </c>
      <c r="F6" s="9">
        <v>20.25818061828613</v>
      </c>
      <c r="G6" s="9">
        <v>327.2946472167969</v>
      </c>
      <c r="H6" s="9">
        <v>96.21023559570312</v>
      </c>
      <c r="I6" s="9">
        <v>101.4595413208008</v>
      </c>
      <c r="J6" s="9">
        <v>64.64241027832031</v>
      </c>
      <c r="K6" s="9">
        <v>165.6600036621094</v>
      </c>
      <c r="N6" s="9">
        <v>417.2999877929687</v>
      </c>
      <c r="O6" s="9">
        <v>224.8899993896484</v>
      </c>
      <c r="P6" s="9">
        <v>50.61000061035156</v>
      </c>
      <c r="Q6" s="9">
        <v>52.97999954223633</v>
      </c>
      <c r="R6" s="9">
        <v>24.69499969482422</v>
      </c>
      <c r="S6" s="9">
        <v>337.989990234375</v>
      </c>
      <c r="T6" s="9">
        <v>114.4899978637695</v>
      </c>
      <c r="U6" s="9">
        <v>126.9899978637695</v>
      </c>
      <c r="V6" s="9">
        <v>87.44000244140625</v>
      </c>
      <c r="W6" s="9">
        <v>165.6600036621094</v>
      </c>
    </row>
    <row r="7" spans="1:23">
      <c r="A7" s="8">
        <v>44347</v>
      </c>
      <c r="B7" s="9">
        <v>390.3328552246094</v>
      </c>
      <c r="C7" s="9">
        <v>211.0243682861328</v>
      </c>
      <c r="D7" s="9">
        <v>44.41312408447266</v>
      </c>
      <c r="E7" s="9">
        <v>45.77627563476562</v>
      </c>
      <c r="F7" s="9">
        <v>21.41485404968262</v>
      </c>
      <c r="G7" s="9">
        <v>323.3630676269531</v>
      </c>
      <c r="H7" s="9">
        <v>96.40635681152344</v>
      </c>
      <c r="I7" s="9">
        <v>102.4983978271484</v>
      </c>
      <c r="J7" s="9">
        <v>64.66764068603516</v>
      </c>
      <c r="K7" s="9">
        <v>178.3800048828125</v>
      </c>
      <c r="N7" s="9">
        <v>420.0400085449219</v>
      </c>
      <c r="O7" s="9">
        <v>225.5</v>
      </c>
      <c r="P7" s="9">
        <v>52.41999816894531</v>
      </c>
      <c r="Q7" s="9">
        <v>53.88000106811523</v>
      </c>
      <c r="R7" s="9">
        <v>26.10499954223633</v>
      </c>
      <c r="S7" s="9">
        <v>333.9299926757812</v>
      </c>
      <c r="T7" s="9">
        <v>114.5500030517578</v>
      </c>
      <c r="U7" s="9">
        <v>127.7699966430664</v>
      </c>
      <c r="V7" s="9">
        <v>87.18000030517578</v>
      </c>
      <c r="W7" s="9">
        <v>178.3800048828125</v>
      </c>
    </row>
    <row r="8" spans="1:23">
      <c r="A8" s="8">
        <v>44377</v>
      </c>
      <c r="B8" s="9">
        <v>399.0869140625</v>
      </c>
      <c r="C8" s="9">
        <v>214.9683837890625</v>
      </c>
      <c r="D8" s="9">
        <v>44.00391387939453</v>
      </c>
      <c r="E8" s="9">
        <v>46.38363265991211</v>
      </c>
      <c r="F8" s="9">
        <v>22.3215446472168</v>
      </c>
      <c r="G8" s="9">
        <v>343.6124572753906</v>
      </c>
      <c r="H8" s="9">
        <v>97.2044677734375</v>
      </c>
      <c r="I8" s="9">
        <v>103.2412338256836</v>
      </c>
      <c r="J8" s="9">
        <v>65.52425384521484</v>
      </c>
      <c r="K8" s="9">
        <v>165.6300048828125</v>
      </c>
      <c r="N8" s="9">
        <v>428.0599975585938</v>
      </c>
      <c r="O8" s="9">
        <v>229.3699951171875</v>
      </c>
      <c r="P8" s="9">
        <v>51.52000045776367</v>
      </c>
      <c r="Q8" s="9">
        <v>54.31000137329102</v>
      </c>
      <c r="R8" s="9">
        <v>26.93499946594238</v>
      </c>
      <c r="S8" s="9">
        <v>354.4299926757812</v>
      </c>
      <c r="T8" s="9">
        <v>115.3300018310547</v>
      </c>
      <c r="U8" s="9">
        <v>128.0099945068359</v>
      </c>
      <c r="V8" s="9">
        <v>88.04000091552734</v>
      </c>
      <c r="W8" s="9">
        <v>165.6300048828125</v>
      </c>
    </row>
    <row r="9" spans="1:23">
      <c r="A9" s="8">
        <v>44408</v>
      </c>
      <c r="B9" s="9">
        <v>408.8297424316406</v>
      </c>
      <c r="C9" s="9">
        <v>207.1707458496093</v>
      </c>
      <c r="D9" s="9">
        <v>44.22599029541016</v>
      </c>
      <c r="E9" s="9">
        <v>43.65066146850586</v>
      </c>
      <c r="F9" s="9">
        <v>20.46521759033203</v>
      </c>
      <c r="G9" s="9">
        <v>353.4429626464844</v>
      </c>
      <c r="H9" s="9">
        <v>98.28987884521484</v>
      </c>
      <c r="I9" s="9">
        <v>106.0037384033203</v>
      </c>
      <c r="J9" s="9">
        <v>65.59298706054688</v>
      </c>
      <c r="K9" s="9">
        <v>169.8200073242188</v>
      </c>
      <c r="N9" s="9">
        <v>438.510009765625</v>
      </c>
      <c r="O9" s="9">
        <v>221.0500030517578</v>
      </c>
      <c r="P9" s="9">
        <v>51.77999877929688</v>
      </c>
      <c r="Q9" s="9">
        <v>51.11000061035156</v>
      </c>
      <c r="R9" s="9">
        <v>24.69499969482422</v>
      </c>
      <c r="S9" s="9">
        <v>364.5700073242187</v>
      </c>
      <c r="T9" s="9">
        <v>116.4599990844727</v>
      </c>
      <c r="U9" s="9">
        <v>130.5800018310547</v>
      </c>
      <c r="V9" s="9">
        <v>87.83999633789062</v>
      </c>
      <c r="W9" s="9">
        <v>169.8200073242188</v>
      </c>
    </row>
    <row r="10" spans="1:23">
      <c r="A10" s="8">
        <v>44439</v>
      </c>
      <c r="B10" s="9">
        <v>420.9964599609375</v>
      </c>
      <c r="C10" s="9">
        <v>211.7349548339844</v>
      </c>
      <c r="D10" s="9">
        <v>44.80678176879883</v>
      </c>
      <c r="E10" s="9">
        <v>44.60720443725586</v>
      </c>
      <c r="F10" s="9">
        <v>20.05500221252442</v>
      </c>
      <c r="G10" s="9">
        <v>368.3535766601562</v>
      </c>
      <c r="H10" s="9">
        <v>98.09291839599609</v>
      </c>
      <c r="I10" s="9">
        <v>105.8297805786133</v>
      </c>
      <c r="J10" s="9">
        <v>65.99225616455078</v>
      </c>
      <c r="K10" s="9">
        <v>169.6900024414062</v>
      </c>
      <c r="N10" s="9">
        <v>451.5599975585938</v>
      </c>
      <c r="O10" s="9">
        <v>225.9199981689453</v>
      </c>
      <c r="P10" s="9">
        <v>52.45999908447266</v>
      </c>
      <c r="Q10" s="9">
        <v>52.22999954223633</v>
      </c>
      <c r="R10" s="9">
        <v>24.20000076293945</v>
      </c>
      <c r="S10" s="9">
        <v>379.9500122070313</v>
      </c>
      <c r="T10" s="9">
        <v>116.0599975585938</v>
      </c>
      <c r="U10" s="9">
        <v>129.5899963378906</v>
      </c>
      <c r="V10" s="9">
        <v>88.08999633789062</v>
      </c>
      <c r="W10" s="9">
        <v>169.6900024414062</v>
      </c>
    </row>
    <row r="11" spans="1:23">
      <c r="A11" s="8">
        <v>44469</v>
      </c>
      <c r="B11" s="9">
        <v>401.375732421875</v>
      </c>
      <c r="C11" s="9">
        <v>205.63623046875</v>
      </c>
      <c r="D11" s="9">
        <v>43.28981781005859</v>
      </c>
      <c r="E11" s="9">
        <v>43.10750961303711</v>
      </c>
      <c r="F11" s="9">
        <v>21.84621047973633</v>
      </c>
      <c r="G11" s="9">
        <v>347.4194946289062</v>
      </c>
      <c r="H11" s="9">
        <v>97.19319152832033</v>
      </c>
      <c r="I11" s="9">
        <v>105.0041809082031</v>
      </c>
      <c r="J11" s="9">
        <v>65.74803924560547</v>
      </c>
      <c r="K11" s="9">
        <v>164.2200012207031</v>
      </c>
      <c r="N11" s="9">
        <v>429.1400146484375</v>
      </c>
      <c r="O11" s="9">
        <v>218.75</v>
      </c>
      <c r="P11" s="9">
        <v>50.4900016784668</v>
      </c>
      <c r="Q11" s="9">
        <v>50.0099983215332</v>
      </c>
      <c r="R11" s="9">
        <v>26.04500007629395</v>
      </c>
      <c r="S11" s="9">
        <v>357.9599914550781</v>
      </c>
      <c r="T11" s="9">
        <v>114.8300018310547</v>
      </c>
      <c r="U11" s="9">
        <v>127.6900024414062</v>
      </c>
      <c r="V11" s="9">
        <v>87.48999786376953</v>
      </c>
      <c r="W11" s="9">
        <v>164.2200012207031</v>
      </c>
    </row>
    <row r="12" spans="1:23">
      <c r="A12" s="8">
        <v>44500</v>
      </c>
      <c r="B12" s="9">
        <v>429.5376892089844</v>
      </c>
      <c r="C12" s="9">
        <v>214.3787078857422</v>
      </c>
      <c r="D12" s="9">
        <v>44.6873664855957</v>
      </c>
      <c r="E12" s="9">
        <v>43.66778945922851</v>
      </c>
      <c r="F12" s="9">
        <v>24.1025447845459</v>
      </c>
      <c r="G12" s="9">
        <v>374.7406311035156</v>
      </c>
      <c r="H12" s="9">
        <v>97.18471527099609</v>
      </c>
      <c r="I12" s="9">
        <v>106.1692352294922</v>
      </c>
      <c r="J12" s="9">
        <v>65.54370880126953</v>
      </c>
      <c r="K12" s="9">
        <v>166.6499938964844</v>
      </c>
      <c r="N12" s="9">
        <v>459.25</v>
      </c>
      <c r="O12" s="9">
        <v>228.0500030517578</v>
      </c>
      <c r="P12" s="9">
        <v>52.11999893188477</v>
      </c>
      <c r="Q12" s="9">
        <v>50.65999984741211</v>
      </c>
      <c r="R12" s="9">
        <v>28.73500061035156</v>
      </c>
      <c r="S12" s="9">
        <v>386.1099853515625</v>
      </c>
      <c r="T12" s="9">
        <v>114.6399993896484</v>
      </c>
      <c r="U12" s="9">
        <v>128.6699981689453</v>
      </c>
      <c r="V12" s="9">
        <v>86.93000030517578</v>
      </c>
      <c r="W12" s="9">
        <v>166.6499938964844</v>
      </c>
    </row>
    <row r="13" spans="1:23">
      <c r="A13" s="8">
        <v>44530</v>
      </c>
      <c r="B13" s="9">
        <v>426.0863952636719</v>
      </c>
      <c r="C13" s="9">
        <v>205.0910034179688</v>
      </c>
      <c r="D13" s="9">
        <v>42.61246871948242</v>
      </c>
      <c r="E13" s="9">
        <v>42.40068817138672</v>
      </c>
      <c r="F13" s="9">
        <v>22.89469337463379</v>
      </c>
      <c r="G13" s="9">
        <v>382.2236022949219</v>
      </c>
      <c r="H13" s="9">
        <v>97.44791412353516</v>
      </c>
      <c r="I13" s="9">
        <v>107.0876846313477</v>
      </c>
      <c r="J13" s="9">
        <v>64.77745056152344</v>
      </c>
      <c r="K13" s="9">
        <v>165.5</v>
      </c>
      <c r="N13" s="9">
        <v>455.5599975585938</v>
      </c>
      <c r="O13" s="9">
        <v>218.1699981689453</v>
      </c>
      <c r="P13" s="9">
        <v>49.70000076293945</v>
      </c>
      <c r="Q13" s="9">
        <v>49.18999862670898</v>
      </c>
      <c r="R13" s="9">
        <v>27.29500007629395</v>
      </c>
      <c r="S13" s="9">
        <v>393.8200073242187</v>
      </c>
      <c r="T13" s="9">
        <v>114.7699966430664</v>
      </c>
      <c r="U13" s="9">
        <v>129.6600036621094</v>
      </c>
      <c r="V13" s="9">
        <v>85.63999938964844</v>
      </c>
      <c r="W13" s="9">
        <v>165.5</v>
      </c>
    </row>
    <row r="14" spans="1:23">
      <c r="A14" s="8">
        <v>44561</v>
      </c>
      <c r="B14" s="9">
        <v>445.7919311523438</v>
      </c>
      <c r="C14" s="9">
        <v>209.7496643066407</v>
      </c>
      <c r="D14" s="9">
        <v>44.45698165893555</v>
      </c>
      <c r="E14" s="9">
        <v>43.05375671386719</v>
      </c>
      <c r="F14" s="9">
        <v>23.57773399353027</v>
      </c>
      <c r="G14" s="9">
        <v>386.6280517578125</v>
      </c>
      <c r="H14" s="9">
        <v>97.09836578369141</v>
      </c>
      <c r="I14" s="9">
        <v>107.5191650390625</v>
      </c>
      <c r="J14" s="9">
        <v>66.25706481933594</v>
      </c>
      <c r="K14" s="9">
        <v>170.9600067138672</v>
      </c>
      <c r="N14" s="9">
        <v>474.9599914550781</v>
      </c>
      <c r="O14" s="9">
        <v>222.4499969482422</v>
      </c>
      <c r="P14" s="9">
        <v>51.06000137329102</v>
      </c>
      <c r="Q14" s="9">
        <v>49.45999908447266</v>
      </c>
      <c r="R14" s="9">
        <v>27.75</v>
      </c>
      <c r="S14" s="9">
        <v>397.8500061035156</v>
      </c>
      <c r="T14" s="9">
        <v>114.0800018310547</v>
      </c>
      <c r="U14" s="9">
        <v>129.1999969482422</v>
      </c>
      <c r="V14" s="9">
        <v>87.01000213623047</v>
      </c>
      <c r="W14" s="9">
        <v>170.9600067138672</v>
      </c>
    </row>
    <row r="15" spans="1:23">
      <c r="A15" s="8">
        <v>44592</v>
      </c>
      <c r="B15" s="9">
        <v>422.2802124023438</v>
      </c>
      <c r="C15" s="9">
        <v>189.7506103515625</v>
      </c>
      <c r="D15" s="9">
        <v>42.74174118041992</v>
      </c>
      <c r="E15" s="9">
        <v>43.2365608215332</v>
      </c>
      <c r="F15" s="9">
        <v>28.00439643859863</v>
      </c>
      <c r="G15" s="9">
        <v>352.8096313476562</v>
      </c>
      <c r="H15" s="9">
        <v>95.15774536132812</v>
      </c>
      <c r="I15" s="9">
        <v>105.3055267333984</v>
      </c>
      <c r="J15" s="9">
        <v>64.49802398681641</v>
      </c>
      <c r="K15" s="9">
        <v>168.0899963378906</v>
      </c>
      <c r="N15" s="9">
        <v>449.9100036621094</v>
      </c>
      <c r="O15" s="9">
        <v>201.2400054931641</v>
      </c>
      <c r="P15" s="9">
        <v>49.09000015258789</v>
      </c>
      <c r="Q15" s="9">
        <v>49.66999816894531</v>
      </c>
      <c r="R15" s="9">
        <v>32.95999908447266</v>
      </c>
      <c r="S15" s="9">
        <v>363.0499877929687</v>
      </c>
      <c r="T15" s="9">
        <v>111.8000030517578</v>
      </c>
      <c r="U15" s="9">
        <v>126.5400009155273</v>
      </c>
      <c r="V15" s="9">
        <v>84.69999694824219</v>
      </c>
      <c r="W15" s="9">
        <v>168.0899963378906</v>
      </c>
    </row>
    <row r="16" spans="1:23">
      <c r="A16" s="8">
        <v>44620</v>
      </c>
      <c r="B16" s="9">
        <v>409.8158569335938</v>
      </c>
      <c r="C16" s="9">
        <v>191.7118682861328</v>
      </c>
      <c r="D16" s="9">
        <v>41.60985946655273</v>
      </c>
      <c r="E16" s="9">
        <v>41.62617874145508</v>
      </c>
      <c r="F16" s="9">
        <v>29.98407936096191</v>
      </c>
      <c r="G16" s="9">
        <v>337.01806640625</v>
      </c>
      <c r="H16" s="9">
        <v>94.06755828857422</v>
      </c>
      <c r="I16" s="9">
        <v>106.2065887451172</v>
      </c>
      <c r="J16" s="9">
        <v>63.9439697265625</v>
      </c>
      <c r="K16" s="9">
        <v>178.3800048828125</v>
      </c>
      <c r="N16" s="9">
        <v>436.6300048828125</v>
      </c>
      <c r="O16" s="9">
        <v>203.3200073242188</v>
      </c>
      <c r="P16" s="9">
        <v>47.79000091552734</v>
      </c>
      <c r="Q16" s="9">
        <v>47.81999969482422</v>
      </c>
      <c r="R16" s="9">
        <v>35.29000091552734</v>
      </c>
      <c r="S16" s="9">
        <v>346.7999877929688</v>
      </c>
      <c r="T16" s="9">
        <v>110.3600006103516</v>
      </c>
      <c r="U16" s="9">
        <v>127.1800003051758</v>
      </c>
      <c r="V16" s="9">
        <v>83.66999816894531</v>
      </c>
      <c r="W16" s="9">
        <v>178.3800048828125</v>
      </c>
    </row>
    <row r="17" spans="1:23">
      <c r="A17" s="8">
        <v>44651</v>
      </c>
      <c r="B17" s="9">
        <v>425.220947265625</v>
      </c>
      <c r="C17" s="9">
        <v>193.9309539794922</v>
      </c>
      <c r="D17" s="9">
        <v>41.89090347290039</v>
      </c>
      <c r="E17" s="9">
        <v>40.27112197875977</v>
      </c>
      <c r="F17" s="9">
        <v>32.7841796875</v>
      </c>
      <c r="G17" s="9">
        <v>352.7496032714844</v>
      </c>
      <c r="H17" s="9">
        <v>91.42219543457033</v>
      </c>
      <c r="I17" s="9">
        <v>104.2146759033203</v>
      </c>
      <c r="J17" s="9">
        <v>63.12091827392578</v>
      </c>
      <c r="K17" s="9">
        <v>180.6499938964844</v>
      </c>
      <c r="N17" s="9">
        <v>451.6400146484375</v>
      </c>
      <c r="O17" s="9">
        <v>205.270004272461</v>
      </c>
      <c r="P17" s="9">
        <v>48.02999877929688</v>
      </c>
      <c r="Q17" s="9">
        <v>46.13000106811523</v>
      </c>
      <c r="R17" s="9">
        <v>38.22000122070312</v>
      </c>
      <c r="S17" s="9">
        <v>362.5400085449219</v>
      </c>
      <c r="T17" s="9">
        <v>107.0999984741211</v>
      </c>
      <c r="U17" s="9">
        <v>124.5699996948242</v>
      </c>
      <c r="V17" s="9">
        <v>82.29000091552734</v>
      </c>
      <c r="W17" s="9">
        <v>180.6499938964844</v>
      </c>
    </row>
    <row r="18" spans="1:23">
      <c r="A18" s="8">
        <v>44681</v>
      </c>
      <c r="B18" s="9">
        <v>387.8997497558594</v>
      </c>
      <c r="C18" s="9">
        <v>174.7334289550781</v>
      </c>
      <c r="D18" s="9">
        <v>39.04760360717773</v>
      </c>
      <c r="E18" s="9">
        <v>37.92276763916016</v>
      </c>
      <c r="F18" s="9">
        <v>32.23090362548828</v>
      </c>
      <c r="G18" s="9">
        <v>304.7906494140625</v>
      </c>
      <c r="H18" s="9">
        <v>87.94281005859375</v>
      </c>
      <c r="I18" s="9">
        <v>101.9396286010742</v>
      </c>
      <c r="J18" s="9">
        <v>60.48226547241211</v>
      </c>
      <c r="K18" s="9">
        <v>176.9100036621094</v>
      </c>
      <c r="N18" s="9">
        <v>412</v>
      </c>
      <c r="O18" s="9">
        <v>184.9499969482422</v>
      </c>
      <c r="P18" s="9">
        <v>44.77000045776367</v>
      </c>
      <c r="Q18" s="9">
        <v>43.43999862670898</v>
      </c>
      <c r="R18" s="9">
        <v>37.57500076293945</v>
      </c>
      <c r="S18" s="9">
        <v>313.25</v>
      </c>
      <c r="T18" s="9">
        <v>102.870002746582</v>
      </c>
      <c r="U18" s="9">
        <v>121.0699996948242</v>
      </c>
      <c r="V18" s="9">
        <v>78.52999877929688</v>
      </c>
      <c r="W18" s="9">
        <v>176.9100036621094</v>
      </c>
    </row>
    <row r="19" spans="1:23">
      <c r="A19" s="8">
        <v>44712</v>
      </c>
      <c r="B19" s="9">
        <v>388.775390625</v>
      </c>
      <c r="C19" s="9">
        <v>175.0735473632812</v>
      </c>
      <c r="D19" s="9">
        <v>39.69301605224609</v>
      </c>
      <c r="E19" s="9">
        <v>38.09737014770508</v>
      </c>
      <c r="F19" s="9">
        <v>37.39900207519531</v>
      </c>
      <c r="G19" s="9">
        <v>299.9548950195312</v>
      </c>
      <c r="H19" s="9">
        <v>88.61164855957031</v>
      </c>
      <c r="I19" s="9">
        <v>100.9281387329102</v>
      </c>
      <c r="J19" s="9">
        <v>61.46807479858398</v>
      </c>
      <c r="K19" s="9">
        <v>171.1399993896484</v>
      </c>
      <c r="N19" s="9">
        <v>412.9299926757813</v>
      </c>
      <c r="O19" s="9">
        <v>185.3099975585938</v>
      </c>
      <c r="P19" s="9">
        <v>45.5099983215332</v>
      </c>
      <c r="Q19" s="9">
        <v>43.63999938964844</v>
      </c>
      <c r="R19" s="9">
        <v>43.59999847412109</v>
      </c>
      <c r="S19" s="9">
        <v>308.2799987792969</v>
      </c>
      <c r="T19" s="9">
        <v>103.4700012207031</v>
      </c>
      <c r="U19" s="9">
        <v>118.9400024414062</v>
      </c>
      <c r="V19" s="9">
        <v>79.5</v>
      </c>
      <c r="W19" s="9">
        <v>171.1399993896484</v>
      </c>
    </row>
    <row r="20" spans="1:23">
      <c r="A20" s="8">
        <v>44742</v>
      </c>
      <c r="B20" s="9">
        <v>356.7167053222656</v>
      </c>
      <c r="C20" s="9">
        <v>160.4263153076172</v>
      </c>
      <c r="D20" s="9">
        <v>36.05314636230469</v>
      </c>
      <c r="E20" s="9">
        <v>36.63054275512695</v>
      </c>
      <c r="F20" s="9">
        <v>31.01369667053223</v>
      </c>
      <c r="G20" s="9">
        <v>273.2352600097656</v>
      </c>
      <c r="H20" s="9">
        <v>87.23549652099609</v>
      </c>
      <c r="I20" s="9">
        <v>97.78369903564452</v>
      </c>
      <c r="J20" s="9">
        <v>57.13467788696289</v>
      </c>
      <c r="K20" s="9">
        <v>168.4600067138672</v>
      </c>
      <c r="N20" s="9">
        <v>377.25</v>
      </c>
      <c r="O20" s="9">
        <v>169.3600006103516</v>
      </c>
      <c r="P20" s="9">
        <v>40.79999923706055</v>
      </c>
      <c r="Q20" s="9">
        <v>41.65000152587891</v>
      </c>
      <c r="R20" s="9">
        <v>35.75500106811523</v>
      </c>
      <c r="S20" s="9">
        <v>280.2799987792969</v>
      </c>
      <c r="T20" s="9">
        <v>101.6800003051758</v>
      </c>
      <c r="U20" s="9">
        <v>113.9100036621094</v>
      </c>
      <c r="V20" s="9">
        <v>73.61000061035156</v>
      </c>
      <c r="W20" s="9">
        <v>168.4600067138672</v>
      </c>
    </row>
    <row r="21" spans="1:23">
      <c r="A21" s="8">
        <v>44773</v>
      </c>
      <c r="B21" s="9">
        <v>389.5658569335938</v>
      </c>
      <c r="C21" s="9">
        <v>177.3725891113281</v>
      </c>
      <c r="D21" s="9">
        <v>37.96183395385742</v>
      </c>
      <c r="E21" s="9">
        <v>36.34030151367188</v>
      </c>
      <c r="F21" s="9">
        <v>34.01054000854492</v>
      </c>
      <c r="G21" s="9">
        <v>307.5310363769531</v>
      </c>
      <c r="H21" s="9">
        <v>89.44963073730469</v>
      </c>
      <c r="I21" s="9">
        <v>101.9980392456055</v>
      </c>
      <c r="J21" s="9">
        <v>60.96206283569336</v>
      </c>
      <c r="K21" s="9">
        <v>164.1000061035156</v>
      </c>
      <c r="N21" s="9">
        <v>411.989990234375</v>
      </c>
      <c r="O21" s="9">
        <v>187.25</v>
      </c>
      <c r="P21" s="9">
        <v>42.95999908447266</v>
      </c>
      <c r="Q21" s="9">
        <v>41.31999969482422</v>
      </c>
      <c r="R21" s="9">
        <v>39.20999908447266</v>
      </c>
      <c r="S21" s="9">
        <v>315.4599914550781</v>
      </c>
      <c r="T21" s="9">
        <v>104.0699996948242</v>
      </c>
      <c r="U21" s="9">
        <v>118.2300033569336</v>
      </c>
      <c r="V21" s="9">
        <v>78.19000244140625</v>
      </c>
      <c r="W21" s="9">
        <v>164.1000061035156</v>
      </c>
    </row>
    <row r="22" spans="1:23">
      <c r="A22" s="8">
        <v>44804</v>
      </c>
      <c r="B22" s="9">
        <v>373.6708679199219</v>
      </c>
      <c r="C22" s="9">
        <v>173.8204193115234</v>
      </c>
      <c r="D22" s="9">
        <v>35.75270080566406</v>
      </c>
      <c r="E22" s="9">
        <v>36.1732063293457</v>
      </c>
      <c r="F22" s="9">
        <v>34.91262435913086</v>
      </c>
      <c r="G22" s="9">
        <v>291.7480163574219</v>
      </c>
      <c r="H22" s="9">
        <v>86.72832489013672</v>
      </c>
      <c r="I22" s="9">
        <v>99.23974609375</v>
      </c>
      <c r="J22" s="9">
        <v>58.33528518676758</v>
      </c>
      <c r="K22" s="9">
        <v>159.2700042724609</v>
      </c>
      <c r="N22" s="9">
        <v>395.1799926757813</v>
      </c>
      <c r="O22" s="9">
        <v>183.5</v>
      </c>
      <c r="P22" s="9">
        <v>40.45999908447266</v>
      </c>
      <c r="Q22" s="9">
        <v>41.13000106811523</v>
      </c>
      <c r="R22" s="9">
        <v>40.25</v>
      </c>
      <c r="S22" s="9">
        <v>299.2699890136719</v>
      </c>
      <c r="T22" s="9">
        <v>100.7099990844727</v>
      </c>
      <c r="U22" s="9">
        <v>113.9100036621094</v>
      </c>
      <c r="V22" s="9">
        <v>74.52999877929688</v>
      </c>
      <c r="W22" s="9">
        <v>159.2700042724609</v>
      </c>
    </row>
    <row r="23" spans="1:23">
      <c r="A23" s="8">
        <v>44834</v>
      </c>
      <c r="B23" s="9">
        <v>339.1264953613281</v>
      </c>
      <c r="C23" s="9">
        <v>157.0285949707031</v>
      </c>
      <c r="D23" s="9">
        <v>32.22746658325195</v>
      </c>
      <c r="E23" s="9">
        <v>32.5261344909668</v>
      </c>
      <c r="F23" s="9">
        <v>31.57542419433594</v>
      </c>
      <c r="G23" s="9">
        <v>261.0107727050781</v>
      </c>
      <c r="H23" s="9">
        <v>83.13339996337891</v>
      </c>
      <c r="I23" s="9">
        <v>92.55863189697266</v>
      </c>
      <c r="J23" s="9">
        <v>56.1533203125</v>
      </c>
      <c r="K23" s="9">
        <v>154.6699981689453</v>
      </c>
      <c r="N23" s="9">
        <v>357.1799926757812</v>
      </c>
      <c r="O23" s="9">
        <v>164.9199981689453</v>
      </c>
      <c r="P23" s="9">
        <v>36.36000061035156</v>
      </c>
      <c r="Q23" s="9">
        <v>36.4900016784668</v>
      </c>
      <c r="R23" s="9">
        <v>36.0099983215332</v>
      </c>
      <c r="S23" s="9">
        <v>267.260009765625</v>
      </c>
      <c r="T23" s="9">
        <v>96.33999633789062</v>
      </c>
      <c r="U23" s="9">
        <v>104.9000015258789</v>
      </c>
      <c r="V23" s="9">
        <v>71.38999938964844</v>
      </c>
      <c r="W23" s="9">
        <v>154.6699981689453</v>
      </c>
    </row>
    <row r="24" spans="1:23">
      <c r="A24" s="8">
        <v>44865</v>
      </c>
      <c r="B24" s="9">
        <v>366.6891784667969</v>
      </c>
      <c r="C24" s="9">
        <v>174.5576477050781</v>
      </c>
      <c r="D24" s="9">
        <v>34.18629455566406</v>
      </c>
      <c r="E24" s="9">
        <v>31.5991096496582</v>
      </c>
      <c r="F24" s="9">
        <v>39.45833206176758</v>
      </c>
      <c r="G24" s="9">
        <v>271.45068359375</v>
      </c>
      <c r="H24" s="9">
        <v>82.07054138183594</v>
      </c>
      <c r="I24" s="9">
        <v>93.87329864501952</v>
      </c>
      <c r="J24" s="9">
        <v>58.04330062866211</v>
      </c>
      <c r="K24" s="9">
        <v>151.9100036621094</v>
      </c>
      <c r="N24" s="9">
        <v>386.2099914550781</v>
      </c>
      <c r="O24" s="9">
        <v>183.3300018310547</v>
      </c>
      <c r="P24" s="9">
        <v>38.56999969482422</v>
      </c>
      <c r="Q24" s="9">
        <v>35.45000076293945</v>
      </c>
      <c r="R24" s="9">
        <v>45</v>
      </c>
      <c r="S24" s="9">
        <v>277.9500122070312</v>
      </c>
      <c r="T24" s="9">
        <v>94.90000152587891</v>
      </c>
      <c r="U24" s="9">
        <v>106.3899993896484</v>
      </c>
      <c r="V24" s="9">
        <v>73.43000030517578</v>
      </c>
      <c r="W24" s="9">
        <v>151.9100036621094</v>
      </c>
    </row>
    <row r="25" spans="1:23">
      <c r="A25" s="8">
        <v>44895</v>
      </c>
      <c r="B25" s="9">
        <v>387.073974609375</v>
      </c>
      <c r="C25" s="9">
        <v>178.4043273925781</v>
      </c>
      <c r="D25" s="9">
        <v>38.4761962890625</v>
      </c>
      <c r="E25" s="9">
        <v>36.11835861206055</v>
      </c>
      <c r="F25" s="9">
        <v>39.96251678466797</v>
      </c>
      <c r="G25" s="9">
        <v>286.5004272460938</v>
      </c>
      <c r="H25" s="9">
        <v>85.19618988037109</v>
      </c>
      <c r="I25" s="9">
        <v>95.59388732910156</v>
      </c>
      <c r="J25" s="9">
        <v>60.03494644165039</v>
      </c>
      <c r="K25" s="9">
        <v>164.8099975585938</v>
      </c>
      <c r="N25" s="9">
        <v>407.6799926757813</v>
      </c>
      <c r="O25" s="9">
        <v>187.3699951171875</v>
      </c>
      <c r="P25" s="9">
        <v>43.40999984741211</v>
      </c>
      <c r="Q25" s="9">
        <v>40.52000045776367</v>
      </c>
      <c r="R25" s="9">
        <v>45.57500076293945</v>
      </c>
      <c r="S25" s="9">
        <v>293.3599853515625</v>
      </c>
      <c r="T25" s="9">
        <v>98.29000091552734</v>
      </c>
      <c r="U25" s="9">
        <v>108.3399963378906</v>
      </c>
      <c r="V25" s="9">
        <v>75.66000366210938</v>
      </c>
      <c r="W25" s="9">
        <v>164.8099975585938</v>
      </c>
    </row>
    <row r="26" spans="1:23">
      <c r="A26" s="8">
        <v>44926</v>
      </c>
      <c r="B26" s="9">
        <v>364.7677001953125</v>
      </c>
      <c r="C26" s="9">
        <v>166.7828674316406</v>
      </c>
      <c r="D26" s="9">
        <v>37.6364631652832</v>
      </c>
      <c r="E26" s="9">
        <v>35.31320190429688</v>
      </c>
      <c r="F26" s="9">
        <v>38.74407958984375</v>
      </c>
      <c r="G26" s="9">
        <v>260.6763000488281</v>
      </c>
      <c r="H26" s="9">
        <v>84.45452880859375</v>
      </c>
      <c r="I26" s="9">
        <v>94.33458709716795</v>
      </c>
      <c r="J26" s="9">
        <v>58.98016738891602</v>
      </c>
      <c r="K26" s="9">
        <v>169.6399993896484</v>
      </c>
      <c r="N26" s="9">
        <v>382.4299926757813</v>
      </c>
      <c r="O26" s="9">
        <v>174.3600006103516</v>
      </c>
      <c r="P26" s="9">
        <v>41.97000122070312</v>
      </c>
      <c r="Q26" s="9">
        <v>38.97999954223633</v>
      </c>
      <c r="R26" s="9">
        <v>43.73500061035156</v>
      </c>
      <c r="S26" s="9">
        <v>266.2799987792969</v>
      </c>
      <c r="T26" s="9">
        <v>96.98999786376952</v>
      </c>
      <c r="U26" s="9">
        <v>106.4400024414062</v>
      </c>
      <c r="V26" s="9">
        <v>73.62999725341797</v>
      </c>
      <c r="W26" s="9">
        <v>169.6399993896484</v>
      </c>
    </row>
    <row r="27" spans="1:23">
      <c r="A27" s="8">
        <v>44957</v>
      </c>
      <c r="B27" s="9">
        <v>387.7068176269531</v>
      </c>
      <c r="C27" s="9">
        <v>183.1589050292969</v>
      </c>
      <c r="D27" s="9">
        <v>41.03512954711914</v>
      </c>
      <c r="E27" s="9">
        <v>38.25747299194336</v>
      </c>
      <c r="F27" s="9">
        <v>39.83371734619141</v>
      </c>
      <c r="G27" s="9">
        <v>288.4198303222656</v>
      </c>
      <c r="H27" s="9">
        <v>87.26709747314453</v>
      </c>
      <c r="I27" s="9">
        <v>96.29325103759766</v>
      </c>
      <c r="J27" s="9">
        <v>61.14299392700195</v>
      </c>
      <c r="K27" s="9">
        <v>179.4100036621094</v>
      </c>
      <c r="N27" s="9">
        <v>406.4800109863281</v>
      </c>
      <c r="O27" s="9">
        <v>191.479995727539</v>
      </c>
      <c r="P27" s="9">
        <v>45.7599983215332</v>
      </c>
      <c r="Q27" s="9">
        <v>42.22999954223633</v>
      </c>
      <c r="R27" s="9">
        <v>44.96500015258789</v>
      </c>
      <c r="S27" s="9">
        <v>294.6199951171875</v>
      </c>
      <c r="T27" s="9">
        <v>100.2200012207031</v>
      </c>
      <c r="U27" s="9">
        <v>108.6500015258789</v>
      </c>
      <c r="V27" s="9">
        <v>76.33000183105469</v>
      </c>
      <c r="W27" s="9">
        <v>179.4100036621094</v>
      </c>
    </row>
    <row r="28" spans="1:23">
      <c r="A28" s="8">
        <v>44985</v>
      </c>
      <c r="B28" s="9">
        <v>377.9589538574219</v>
      </c>
      <c r="C28" s="9">
        <v>180.0022735595703</v>
      </c>
      <c r="D28" s="9">
        <v>39.60929870605469</v>
      </c>
      <c r="E28" s="9">
        <v>35.71181106567383</v>
      </c>
      <c r="F28" s="9">
        <v>37.06976699829102</v>
      </c>
      <c r="G28" s="9">
        <v>287.382080078125</v>
      </c>
      <c r="H28" s="9">
        <v>84.94086456298828</v>
      </c>
      <c r="I28" s="9">
        <v>94.99044799804688</v>
      </c>
      <c r="J28" s="9">
        <v>59.99032592773438</v>
      </c>
      <c r="K28" s="9">
        <v>169.7799987792969</v>
      </c>
      <c r="N28" s="9">
        <v>396.260009765625</v>
      </c>
      <c r="O28" s="9">
        <v>188.1799926757812</v>
      </c>
      <c r="P28" s="9">
        <v>44.16999816894531</v>
      </c>
      <c r="Q28" s="9">
        <v>39.41999816894531</v>
      </c>
      <c r="R28" s="9">
        <v>41.84500122070312</v>
      </c>
      <c r="S28" s="9">
        <v>293.5599975585938</v>
      </c>
      <c r="T28" s="9">
        <v>97.30999755859376</v>
      </c>
      <c r="U28" s="9">
        <v>107.1800003051758</v>
      </c>
      <c r="V28" s="9">
        <v>74.52999877929688</v>
      </c>
      <c r="W28" s="9">
        <v>169.7799987792969</v>
      </c>
    </row>
    <row r="29" spans="1:23">
      <c r="A29" s="8">
        <v>45016</v>
      </c>
      <c r="B29" s="9">
        <v>391.9727783203125</v>
      </c>
      <c r="C29" s="9">
        <v>171.2769775390625</v>
      </c>
      <c r="D29" s="9">
        <v>40.65835571289062</v>
      </c>
      <c r="E29" s="9">
        <v>36.62609100341797</v>
      </c>
      <c r="F29" s="9">
        <v>37.07174682617188</v>
      </c>
      <c r="G29" s="9">
        <v>314.6624755859375</v>
      </c>
      <c r="H29" s="9">
        <v>87.184326171875</v>
      </c>
      <c r="I29" s="9">
        <v>97.71127319335938</v>
      </c>
      <c r="J29" s="9">
        <v>61.18075942993164</v>
      </c>
      <c r="K29" s="9">
        <v>183.2200012207031</v>
      </c>
      <c r="N29" s="9">
        <v>409.3900146484375</v>
      </c>
      <c r="O29" s="9">
        <v>178.3999938964844</v>
      </c>
      <c r="P29" s="9">
        <v>45.16999816894531</v>
      </c>
      <c r="Q29" s="9">
        <v>40.40000152587891</v>
      </c>
      <c r="R29" s="9">
        <v>41.41500091552734</v>
      </c>
      <c r="S29" s="9">
        <v>320.9299926757812</v>
      </c>
      <c r="T29" s="9">
        <v>99.63999938964844</v>
      </c>
      <c r="U29" s="9">
        <v>110.25</v>
      </c>
      <c r="V29" s="9">
        <v>75.55000305175781</v>
      </c>
      <c r="W29" s="9">
        <v>183.2200012207031</v>
      </c>
    </row>
    <row r="30" spans="1:23">
      <c r="A30" s="8">
        <v>45046</v>
      </c>
      <c r="B30" s="9">
        <v>398.2344970703125</v>
      </c>
      <c r="C30" s="9">
        <v>168.2047576904297</v>
      </c>
      <c r="D30" s="9">
        <v>41.72950744628906</v>
      </c>
      <c r="E30" s="9">
        <v>36.48104095458984</v>
      </c>
      <c r="F30" s="9">
        <v>38.10113143920898</v>
      </c>
      <c r="G30" s="9">
        <v>316.2606506347656</v>
      </c>
      <c r="H30" s="9">
        <v>87.68609619140625</v>
      </c>
      <c r="I30" s="9">
        <v>97.76186370849609</v>
      </c>
      <c r="J30" s="9">
        <v>61.30440521240234</v>
      </c>
      <c r="K30" s="9">
        <v>184.8000030517578</v>
      </c>
      <c r="N30" s="9">
        <v>415.9299926757813</v>
      </c>
      <c r="O30" s="9">
        <v>175.1999969482422</v>
      </c>
      <c r="P30" s="9">
        <v>46.36000061035156</v>
      </c>
      <c r="Q30" s="9">
        <v>40.2400016784668</v>
      </c>
      <c r="R30" s="9">
        <v>42.56499862670898</v>
      </c>
      <c r="S30" s="9">
        <v>322.5599975585938</v>
      </c>
      <c r="T30" s="9">
        <v>99.95999908447266</v>
      </c>
      <c r="U30" s="9">
        <v>110.1800003051758</v>
      </c>
      <c r="V30" s="9">
        <v>75.36000061035156</v>
      </c>
      <c r="W30" s="9">
        <v>184.8000030517578</v>
      </c>
    </row>
    <row r="31" spans="1:23">
      <c r="A31" s="8">
        <v>45077</v>
      </c>
      <c r="B31" s="9">
        <v>400.0728149414062</v>
      </c>
      <c r="C31" s="9">
        <v>166.8318481445312</v>
      </c>
      <c r="D31" s="9">
        <v>40.17230224609375</v>
      </c>
      <c r="E31" s="9">
        <v>35.40219497680664</v>
      </c>
      <c r="F31" s="9">
        <v>34.27893447875977</v>
      </c>
      <c r="G31" s="9">
        <v>341.1940612792969</v>
      </c>
      <c r="H31" s="9">
        <v>86.68270874023438</v>
      </c>
      <c r="I31" s="9">
        <v>96.59258270263672</v>
      </c>
      <c r="J31" s="9">
        <v>60.54948043823242</v>
      </c>
      <c r="K31" s="9">
        <v>182.3200073242188</v>
      </c>
      <c r="N31" s="9">
        <v>417.8500061035156</v>
      </c>
      <c r="O31" s="9">
        <v>173.7700042724609</v>
      </c>
      <c r="P31" s="9">
        <v>44.63000106811523</v>
      </c>
      <c r="Q31" s="9">
        <v>39.04999923706055</v>
      </c>
      <c r="R31" s="9">
        <v>38.29499816894531</v>
      </c>
      <c r="S31" s="9">
        <v>347.989990234375</v>
      </c>
      <c r="T31" s="9">
        <v>98.56999969482422</v>
      </c>
      <c r="U31" s="9">
        <v>108.3000030517578</v>
      </c>
      <c r="V31" s="9">
        <v>74.11000061035156</v>
      </c>
      <c r="W31" s="9">
        <v>182.3200073242188</v>
      </c>
    </row>
    <row r="32" spans="1:23">
      <c r="A32" s="8">
        <v>45107</v>
      </c>
      <c r="B32" s="9">
        <v>425.9975280761719</v>
      </c>
      <c r="C32" s="9">
        <v>180.2907257080078</v>
      </c>
      <c r="D32" s="9">
        <v>41.9515266418457</v>
      </c>
      <c r="E32" s="9">
        <v>37.08063888549805</v>
      </c>
      <c r="F32" s="9">
        <v>36.64876556396485</v>
      </c>
      <c r="G32" s="9">
        <v>362.702392578125</v>
      </c>
      <c r="H32" s="9">
        <v>86.363525390625</v>
      </c>
      <c r="I32" s="9">
        <v>96.26432037353516</v>
      </c>
      <c r="J32" s="9">
        <v>61.62736511230469</v>
      </c>
      <c r="K32" s="9">
        <v>178.2700042724609</v>
      </c>
      <c r="N32" s="9">
        <v>443.2799987792969</v>
      </c>
      <c r="O32" s="9">
        <v>187.270004272461</v>
      </c>
      <c r="P32" s="9">
        <v>46.18000030517578</v>
      </c>
      <c r="Q32" s="9">
        <v>40.68000030517578</v>
      </c>
      <c r="R32" s="9">
        <v>40.58499908447266</v>
      </c>
      <c r="S32" s="9">
        <v>369.4200134277344</v>
      </c>
      <c r="T32" s="9">
        <v>97.9499969482422</v>
      </c>
      <c r="U32" s="9">
        <v>107.620002746582</v>
      </c>
      <c r="V32" s="9">
        <v>75.06999969482422</v>
      </c>
      <c r="W32" s="9">
        <v>178.2700042724609</v>
      </c>
    </row>
    <row r="33" spans="1:23">
      <c r="A33" s="8">
        <v>45138</v>
      </c>
      <c r="B33" s="9">
        <v>439.9417419433594</v>
      </c>
      <c r="C33" s="9">
        <v>191.3043670654297</v>
      </c>
      <c r="D33" s="9">
        <v>43.26876068115234</v>
      </c>
      <c r="E33" s="9">
        <v>39.25917053222656</v>
      </c>
      <c r="F33" s="9">
        <v>39.49776840209961</v>
      </c>
      <c r="G33" s="9">
        <v>376.7030944824219</v>
      </c>
      <c r="H33" s="9">
        <v>86.35023498535156</v>
      </c>
      <c r="I33" s="9">
        <v>96.30384063720705</v>
      </c>
      <c r="J33" s="9">
        <v>62.31487655639648</v>
      </c>
      <c r="K33" s="9">
        <v>182.3500061035156</v>
      </c>
      <c r="N33" s="9">
        <v>457.7900085449219</v>
      </c>
      <c r="O33" s="9">
        <v>198.7100067138672</v>
      </c>
      <c r="P33" s="9">
        <v>47.63000106811523</v>
      </c>
      <c r="Q33" s="9">
        <v>43.06999969482422</v>
      </c>
      <c r="R33" s="9">
        <v>43.7400016784668</v>
      </c>
      <c r="S33" s="9">
        <v>383.6799926757813</v>
      </c>
      <c r="T33" s="9">
        <v>97.68000030517578</v>
      </c>
      <c r="U33" s="9">
        <v>107.1600036621094</v>
      </c>
      <c r="V33" s="9">
        <v>75.5</v>
      </c>
      <c r="W33" s="9">
        <v>182.3500061035156</v>
      </c>
    </row>
    <row r="34" spans="1:23">
      <c r="A34" s="8">
        <v>45169</v>
      </c>
      <c r="B34" s="9">
        <v>432.7918701171875</v>
      </c>
      <c r="C34" s="9">
        <v>181.5807952880859</v>
      </c>
      <c r="D34" s="9">
        <v>41.56089782714844</v>
      </c>
      <c r="E34" s="9">
        <v>36.94390487670898</v>
      </c>
      <c r="F34" s="9">
        <v>40.14794158935547</v>
      </c>
      <c r="G34" s="9">
        <v>371.1165161132813</v>
      </c>
      <c r="H34" s="9">
        <v>85.80510711669922</v>
      </c>
      <c r="I34" s="9">
        <v>95.52126312255859</v>
      </c>
      <c r="J34" s="9">
        <v>62.4293212890625</v>
      </c>
      <c r="K34" s="9">
        <v>180.0200042724609</v>
      </c>
      <c r="N34" s="9">
        <v>450.3500061035156</v>
      </c>
      <c r="O34" s="9">
        <v>188.6100006103516</v>
      </c>
      <c r="P34" s="9">
        <v>45.75</v>
      </c>
      <c r="Q34" s="9">
        <v>40.52999877929688</v>
      </c>
      <c r="R34" s="9">
        <v>44.45999908447266</v>
      </c>
      <c r="S34" s="9">
        <v>377.989990234375</v>
      </c>
      <c r="T34" s="9">
        <v>96.8000030517578</v>
      </c>
      <c r="U34" s="9">
        <v>106.0699996948242</v>
      </c>
      <c r="V34" s="9">
        <v>75.27999877929688</v>
      </c>
      <c r="W34" s="9">
        <v>180.0200042724609</v>
      </c>
    </row>
    <row r="35" spans="1:23">
      <c r="A35" s="8">
        <v>45199</v>
      </c>
      <c r="B35" s="9">
        <v>412.2626037597656</v>
      </c>
      <c r="C35" s="9">
        <v>170.9517669677734</v>
      </c>
      <c r="D35" s="9">
        <v>39.98791122436523</v>
      </c>
      <c r="E35" s="9">
        <v>36.0322265625</v>
      </c>
      <c r="F35" s="9">
        <v>41.11282348632812</v>
      </c>
      <c r="G35" s="9">
        <v>352.2643737792969</v>
      </c>
      <c r="H35" s="9">
        <v>83.58312225341797</v>
      </c>
      <c r="I35" s="9">
        <v>93.69027709960938</v>
      </c>
      <c r="J35" s="9">
        <v>61.42198181152344</v>
      </c>
      <c r="K35" s="9">
        <v>171.4499969482422</v>
      </c>
      <c r="N35" s="9">
        <v>427.4800109863281</v>
      </c>
      <c r="O35" s="9">
        <v>176.7400054931641</v>
      </c>
      <c r="P35" s="9">
        <v>43.72000122070312</v>
      </c>
      <c r="Q35" s="9">
        <v>39.20999908447266</v>
      </c>
      <c r="R35" s="9">
        <v>45.19499969482422</v>
      </c>
      <c r="S35" s="9">
        <v>358.2699890136719</v>
      </c>
      <c r="T35" s="9">
        <v>94.04000091552734</v>
      </c>
      <c r="U35" s="9">
        <v>103.7200012207031</v>
      </c>
      <c r="V35" s="9">
        <v>73.72000122070312</v>
      </c>
      <c r="W35" s="9">
        <v>171.4499969482422</v>
      </c>
    </row>
    <row r="36" spans="1:23">
      <c r="A36" s="8">
        <v>45230</v>
      </c>
      <c r="B36" s="9">
        <v>403.3129577636719</v>
      </c>
      <c r="C36" s="9">
        <v>159.1319580078125</v>
      </c>
      <c r="D36" s="9">
        <v>38.63424301147461</v>
      </c>
      <c r="E36" s="9">
        <v>34.86515808105469</v>
      </c>
      <c r="F36" s="9">
        <v>38.74765777587891</v>
      </c>
      <c r="G36" s="9">
        <v>344.9883728027344</v>
      </c>
      <c r="H36" s="9">
        <v>82.27033233642578</v>
      </c>
      <c r="I36" s="9">
        <v>93.01259613037109</v>
      </c>
      <c r="J36" s="9">
        <v>60.78128051757812</v>
      </c>
      <c r="K36" s="9">
        <v>184.0899963378907</v>
      </c>
      <c r="N36" s="9">
        <v>418.2000122070313</v>
      </c>
      <c r="O36" s="9">
        <v>164.5200042724609</v>
      </c>
      <c r="P36" s="9">
        <v>42.2400016784668</v>
      </c>
      <c r="Q36" s="9">
        <v>37.93999862670898</v>
      </c>
      <c r="R36" s="9">
        <v>42.59500122070312</v>
      </c>
      <c r="S36" s="9">
        <v>350.8699951171875</v>
      </c>
      <c r="T36" s="9">
        <v>92.30999755859376</v>
      </c>
      <c r="U36" s="9">
        <v>102.8000030517578</v>
      </c>
      <c r="V36" s="9">
        <v>72.56999969482422</v>
      </c>
      <c r="W36" s="9">
        <v>184.0899963378907</v>
      </c>
    </row>
    <row r="37" spans="1:23">
      <c r="A37" s="8">
        <v>45260</v>
      </c>
      <c r="B37" s="9">
        <v>440.153076171875</v>
      </c>
      <c r="C37" s="9">
        <v>173.7761077880859</v>
      </c>
      <c r="D37" s="9">
        <v>42.03669357299805</v>
      </c>
      <c r="E37" s="9">
        <v>37.3371467590332</v>
      </c>
      <c r="F37" s="9">
        <v>38.47021102905273</v>
      </c>
      <c r="G37" s="9">
        <v>382.3120422363281</v>
      </c>
      <c r="H37" s="9">
        <v>86.04892730712891</v>
      </c>
      <c r="I37" s="9">
        <v>95.59536743164062</v>
      </c>
      <c r="J37" s="9">
        <v>63.75206756591797</v>
      </c>
      <c r="K37" s="9">
        <v>188.75</v>
      </c>
      <c r="N37" s="9">
        <v>456.3999938964844</v>
      </c>
      <c r="O37" s="9">
        <v>179.6600036621094</v>
      </c>
      <c r="P37" s="9">
        <v>45.95999908447266</v>
      </c>
      <c r="Q37" s="9">
        <v>40.63000106811523</v>
      </c>
      <c r="R37" s="9">
        <v>42.29000091552734</v>
      </c>
      <c r="S37" s="9">
        <v>388.8299865722656</v>
      </c>
      <c r="T37" s="9">
        <v>96.26000213623048</v>
      </c>
      <c r="U37" s="9">
        <v>105.1900024414062</v>
      </c>
      <c r="V37" s="9">
        <v>75.70999908447266</v>
      </c>
      <c r="W37" s="9">
        <v>188.75</v>
      </c>
    </row>
    <row r="38" spans="1:23">
      <c r="A38" s="8">
        <v>45291</v>
      </c>
      <c r="B38" s="9">
        <v>460.2483825683594</v>
      </c>
      <c r="C38" s="9">
        <v>194.8485107421875</v>
      </c>
      <c r="D38" s="9">
        <v>44.38594436645508</v>
      </c>
      <c r="E38" s="9">
        <v>38.58164596557617</v>
      </c>
      <c r="F38" s="9">
        <v>38.49990081787109</v>
      </c>
      <c r="G38" s="9">
        <v>403.6717224121094</v>
      </c>
      <c r="H38" s="9">
        <v>89.23070526123047</v>
      </c>
      <c r="I38" s="9">
        <v>97.92389678955078</v>
      </c>
      <c r="J38" s="9">
        <v>65.78739929199219</v>
      </c>
      <c r="K38" s="9">
        <v>191.1699981689453</v>
      </c>
      <c r="N38" s="9">
        <v>475.3099975585938</v>
      </c>
      <c r="O38" s="9">
        <v>200.7100067138672</v>
      </c>
      <c r="P38" s="9">
        <v>47.90000152587891</v>
      </c>
      <c r="Q38" s="9">
        <v>41.09999847412109</v>
      </c>
      <c r="R38" s="9">
        <v>41.91999816894531</v>
      </c>
      <c r="S38" s="9">
        <v>409.5199890136719</v>
      </c>
      <c r="T38" s="9">
        <v>99.25</v>
      </c>
      <c r="U38" s="9">
        <v>107.4899978637695</v>
      </c>
      <c r="V38" s="9">
        <v>77.38999938964844</v>
      </c>
      <c r="W38" s="9">
        <v>191.1699981689453</v>
      </c>
    </row>
    <row r="39" spans="1:23">
      <c r="A39" s="8">
        <v>45322</v>
      </c>
      <c r="B39" s="9">
        <v>467.5785522460938</v>
      </c>
      <c r="C39" s="9">
        <v>187.2471618652344</v>
      </c>
      <c r="D39" s="9">
        <v>43.90409469604492</v>
      </c>
      <c r="E39" s="9">
        <v>37.21110534667969</v>
      </c>
      <c r="F39" s="9">
        <v>38.30244445800781</v>
      </c>
      <c r="G39" s="9">
        <v>411.0152587890625</v>
      </c>
      <c r="H39" s="9">
        <v>89.09587097167969</v>
      </c>
      <c r="I39" s="9">
        <v>98.25184631347656</v>
      </c>
      <c r="J39" s="9">
        <v>65.8638916015625</v>
      </c>
      <c r="K39" s="9">
        <v>188.4499969482422</v>
      </c>
      <c r="N39" s="9">
        <v>482.8800048828125</v>
      </c>
      <c r="O39" s="9">
        <v>192.8800048828125</v>
      </c>
      <c r="P39" s="9">
        <v>47.38000106811523</v>
      </c>
      <c r="Q39" s="9">
        <v>39.63999938964844</v>
      </c>
      <c r="R39" s="9">
        <v>41.70500183105469</v>
      </c>
      <c r="S39" s="9">
        <v>416.9700012207031</v>
      </c>
      <c r="T39" s="9">
        <v>99.09999847412109</v>
      </c>
      <c r="U39" s="9">
        <v>107.8499984741211</v>
      </c>
      <c r="V39" s="9">
        <v>77.48000335693359</v>
      </c>
      <c r="W39" s="9">
        <v>188.4499969482422</v>
      </c>
    </row>
    <row r="40" spans="1:23">
      <c r="A40" s="8">
        <v>45351</v>
      </c>
      <c r="B40" s="9">
        <v>491.97998046875</v>
      </c>
      <c r="C40" s="9">
        <v>197.7803192138672</v>
      </c>
      <c r="D40" s="9">
        <v>45.10871887207031</v>
      </c>
      <c r="E40" s="9">
        <v>38.50654983520508</v>
      </c>
      <c r="F40" s="9">
        <v>39.55607223510742</v>
      </c>
      <c r="G40" s="9">
        <v>432.7306823730469</v>
      </c>
      <c r="H40" s="9">
        <v>87.78205108642578</v>
      </c>
      <c r="I40" s="9">
        <v>97.22241973876952</v>
      </c>
      <c r="J40" s="9">
        <v>66.06378173828125</v>
      </c>
      <c r="K40" s="9">
        <v>189.3099975585938</v>
      </c>
      <c r="N40" s="9">
        <v>508.0799865722656</v>
      </c>
      <c r="O40" s="9">
        <v>203.729995727539</v>
      </c>
      <c r="P40" s="9">
        <v>48.68000030517578</v>
      </c>
      <c r="Q40" s="9">
        <v>41.02000045776367</v>
      </c>
      <c r="R40" s="9">
        <v>43.06999969482422</v>
      </c>
      <c r="S40" s="9">
        <v>439</v>
      </c>
      <c r="T40" s="9">
        <v>97.34999847412109</v>
      </c>
      <c r="U40" s="9">
        <v>106.7200012207031</v>
      </c>
      <c r="V40" s="9">
        <v>77.33000183105469</v>
      </c>
      <c r="W40" s="9">
        <v>189.3099975585938</v>
      </c>
    </row>
    <row r="41" spans="1:23">
      <c r="A41" s="8">
        <v>45382</v>
      </c>
      <c r="B41" s="9">
        <v>508.0687255859375</v>
      </c>
      <c r="C41" s="9">
        <v>204.6768341064453</v>
      </c>
      <c r="D41" s="9">
        <v>46.75899505615234</v>
      </c>
      <c r="E41" s="9">
        <v>39.24724960327149</v>
      </c>
      <c r="F41" s="9">
        <v>43.70407867431641</v>
      </c>
      <c r="G41" s="9">
        <v>438.2479248046875</v>
      </c>
      <c r="H41" s="9">
        <v>88.57427978515625</v>
      </c>
      <c r="I41" s="9">
        <v>97.85101318359376</v>
      </c>
      <c r="J41" s="9">
        <v>66.78375244140625</v>
      </c>
      <c r="K41" s="9">
        <v>205.7200012207031</v>
      </c>
      <c r="N41" s="9">
        <v>523.0700073242188</v>
      </c>
      <c r="O41" s="9">
        <v>210.3000030517578</v>
      </c>
      <c r="P41" s="9">
        <v>50.16999816894531</v>
      </c>
      <c r="Q41" s="9">
        <v>41.77000045776367</v>
      </c>
      <c r="R41" s="9">
        <v>47.20500183105469</v>
      </c>
      <c r="S41" s="9">
        <v>444.010009765625</v>
      </c>
      <c r="T41" s="9">
        <v>97.94000244140624</v>
      </c>
      <c r="U41" s="9">
        <v>107.4100036621094</v>
      </c>
      <c r="V41" s="9">
        <v>77.73000335693359</v>
      </c>
      <c r="W41" s="9">
        <v>205.7200012207031</v>
      </c>
    </row>
    <row r="42" spans="1:23">
      <c r="A42" s="8">
        <v>45412</v>
      </c>
      <c r="B42" s="9">
        <v>487.5835876464844</v>
      </c>
      <c r="C42" s="9">
        <v>190.6618957519531</v>
      </c>
      <c r="D42" s="9">
        <v>45.16525650024414</v>
      </c>
      <c r="E42" s="9">
        <v>39.62308502197266</v>
      </c>
      <c r="F42" s="9">
        <v>43.29207229614258</v>
      </c>
      <c r="G42" s="9">
        <v>419.0798950195313</v>
      </c>
      <c r="H42" s="9">
        <v>86.37920379638672</v>
      </c>
      <c r="I42" s="9">
        <v>96.19654846191406</v>
      </c>
      <c r="J42" s="9">
        <v>65.88134765625</v>
      </c>
      <c r="K42" s="9">
        <v>211.8699951171875</v>
      </c>
      <c r="N42" s="9">
        <v>501.9800109863281</v>
      </c>
      <c r="O42" s="9">
        <v>195.8999938964844</v>
      </c>
      <c r="P42" s="9">
        <v>48.45999908447266</v>
      </c>
      <c r="Q42" s="9">
        <v>42.16999816894531</v>
      </c>
      <c r="R42" s="9">
        <v>46.7599983215332</v>
      </c>
      <c r="S42" s="9">
        <v>424.5899963378906</v>
      </c>
      <c r="T42" s="9">
        <v>95.23000335693359</v>
      </c>
      <c r="U42" s="9">
        <v>105.5299987792969</v>
      </c>
      <c r="V42" s="9">
        <v>76.29000091552734</v>
      </c>
      <c r="W42" s="9">
        <v>211.8699951171875</v>
      </c>
    </row>
    <row r="43" spans="1:23">
      <c r="A43" s="8">
        <v>45443</v>
      </c>
      <c r="B43" s="9">
        <v>512.245361328125</v>
      </c>
      <c r="C43" s="9">
        <v>200.2679748535156</v>
      </c>
      <c r="D43" s="9">
        <v>47.2716064453125</v>
      </c>
      <c r="E43" s="9">
        <v>40.47813034057617</v>
      </c>
      <c r="F43" s="9">
        <v>43.14394378662109</v>
      </c>
      <c r="G43" s="9">
        <v>444.8609008789062</v>
      </c>
      <c r="H43" s="9">
        <v>87.82134246826172</v>
      </c>
      <c r="I43" s="9">
        <v>97.906005859375</v>
      </c>
      <c r="J43" s="9">
        <v>66.95780181884766</v>
      </c>
      <c r="K43" s="9">
        <v>215.3000030517578</v>
      </c>
      <c r="N43" s="9">
        <v>527.3699951171875</v>
      </c>
      <c r="O43" s="9">
        <v>205.770004272461</v>
      </c>
      <c r="P43" s="9">
        <v>50.72000122070312</v>
      </c>
      <c r="Q43" s="9">
        <v>43.08000183105469</v>
      </c>
      <c r="R43" s="9">
        <v>46.59999847412109</v>
      </c>
      <c r="S43" s="9">
        <v>450.7099914550781</v>
      </c>
      <c r="T43" s="9">
        <v>96.51999664306641</v>
      </c>
      <c r="U43" s="9">
        <v>106.6999969482422</v>
      </c>
      <c r="V43" s="9">
        <v>77.12999725341797</v>
      </c>
      <c r="W43" s="9">
        <v>215.3000030517578</v>
      </c>
    </row>
    <row r="44" spans="1:23">
      <c r="A44" s="8">
        <v>45473</v>
      </c>
      <c r="B44" s="9">
        <v>530.3175048828125</v>
      </c>
      <c r="C44" s="9">
        <v>198.0162200927734</v>
      </c>
      <c r="D44" s="9">
        <v>46.48965072631836</v>
      </c>
      <c r="E44" s="9">
        <v>41.27555847167969</v>
      </c>
      <c r="F44" s="9">
        <v>42.53381729125977</v>
      </c>
      <c r="G44" s="9">
        <v>473.64404296875</v>
      </c>
      <c r="H44" s="9">
        <v>88.5989990234375</v>
      </c>
      <c r="I44" s="9">
        <v>98.6515655517578</v>
      </c>
      <c r="J44" s="9">
        <v>67.27877044677734</v>
      </c>
      <c r="K44" s="9">
        <v>215.0099945068359</v>
      </c>
      <c r="N44" s="9">
        <v>544.219970703125</v>
      </c>
      <c r="O44" s="9">
        <v>202.8899993896484</v>
      </c>
      <c r="P44" s="9">
        <v>49.41999816894531</v>
      </c>
      <c r="Q44" s="9">
        <v>43.7599983215332</v>
      </c>
      <c r="R44" s="9">
        <v>45.57500076293945</v>
      </c>
      <c r="S44" s="9">
        <v>479.1099853515625</v>
      </c>
      <c r="T44" s="9">
        <v>97.06999969482422</v>
      </c>
      <c r="U44" s="9">
        <v>106.7799987792969</v>
      </c>
      <c r="V44" s="9">
        <v>77.13999938964844</v>
      </c>
      <c r="W44" s="9">
        <v>215.0099945068359</v>
      </c>
    </row>
    <row r="45" spans="1:23">
      <c r="A45" s="8">
        <v>45504</v>
      </c>
      <c r="B45" s="9">
        <v>536.7391967773438</v>
      </c>
      <c r="C45" s="9">
        <v>218.4824676513672</v>
      </c>
      <c r="D45" s="9">
        <v>47.89130020141602</v>
      </c>
      <c r="E45" s="9">
        <v>41.77547836303711</v>
      </c>
      <c r="F45" s="9">
        <v>43.49508285522461</v>
      </c>
      <c r="G45" s="9">
        <v>465.6957397460938</v>
      </c>
      <c r="H45" s="9">
        <v>90.74236297607422</v>
      </c>
      <c r="I45" s="9">
        <v>100.3556976318359</v>
      </c>
      <c r="J45" s="9">
        <v>68.86132049560547</v>
      </c>
      <c r="K45" s="9">
        <v>226.5500030517578</v>
      </c>
      <c r="N45" s="9">
        <v>550.8099975585938</v>
      </c>
      <c r="O45" s="9">
        <v>223.8600006103516</v>
      </c>
      <c r="P45" s="9">
        <v>50.90999984741211</v>
      </c>
      <c r="Q45" s="9">
        <v>44.29000091552734</v>
      </c>
      <c r="R45" s="9">
        <v>46.60499954223633</v>
      </c>
      <c r="S45" s="9">
        <v>471.0700073242187</v>
      </c>
      <c r="T45" s="9">
        <v>99.11000061035156</v>
      </c>
      <c r="U45" s="9">
        <v>108.1800003051758</v>
      </c>
      <c r="V45" s="9">
        <v>78.54000091552734</v>
      </c>
      <c r="W45" s="9">
        <v>226.5500030517578</v>
      </c>
    </row>
    <row r="46" spans="1:23">
      <c r="A46" s="8">
        <v>45535</v>
      </c>
      <c r="B46" s="9">
        <v>549.2804565429688</v>
      </c>
      <c r="C46" s="9">
        <v>214.7932739257812</v>
      </c>
      <c r="D46" s="9">
        <v>49.28354644775391</v>
      </c>
      <c r="E46" s="9">
        <v>42.18105697631836</v>
      </c>
      <c r="F46" s="9">
        <v>42.59447479248047</v>
      </c>
      <c r="G46" s="9">
        <v>470.8364562988281</v>
      </c>
      <c r="H46" s="9">
        <v>92.06849670410156</v>
      </c>
      <c r="I46" s="9">
        <v>101.1575698852539</v>
      </c>
      <c r="J46" s="9">
        <v>69.92688751220703</v>
      </c>
      <c r="K46" s="9">
        <v>231.2899932861328</v>
      </c>
      <c r="N46" s="9">
        <v>563.6799926757812</v>
      </c>
      <c r="O46" s="9">
        <v>220.0800018310547</v>
      </c>
      <c r="P46" s="9">
        <v>52.38999938964844</v>
      </c>
      <c r="Q46" s="9">
        <v>44.72000122070312</v>
      </c>
      <c r="R46" s="9">
        <v>45.63999938964844</v>
      </c>
      <c r="S46" s="9">
        <v>476.2699890136719</v>
      </c>
      <c r="T46" s="9">
        <v>100.25</v>
      </c>
      <c r="U46" s="9">
        <v>108.870002746582</v>
      </c>
      <c r="V46" s="9">
        <v>79.33999633789062</v>
      </c>
      <c r="W46" s="9">
        <v>231.2899932861328</v>
      </c>
    </row>
    <row r="47" spans="1:23">
      <c r="A47" s="8">
        <v>45565</v>
      </c>
      <c r="B47" s="9">
        <v>560.8178100585938</v>
      </c>
      <c r="C47" s="9">
        <v>216.3194274902344</v>
      </c>
      <c r="D47" s="9">
        <v>49.81509017944336</v>
      </c>
      <c r="E47" s="9">
        <v>45.26681518554688</v>
      </c>
      <c r="F47" s="9">
        <v>41.30893325805664</v>
      </c>
      <c r="G47" s="9">
        <v>483.1798095703125</v>
      </c>
      <c r="H47" s="9">
        <v>93.29561614990234</v>
      </c>
      <c r="I47" s="9">
        <v>102.672492980957</v>
      </c>
      <c r="J47" s="9">
        <v>71.11360931396484</v>
      </c>
      <c r="K47" s="9">
        <v>243.0599975585938</v>
      </c>
      <c r="N47" s="9">
        <v>573.760009765625</v>
      </c>
      <c r="O47" s="9">
        <v>220.8899993896484</v>
      </c>
      <c r="P47" s="9">
        <v>52.81000137329102</v>
      </c>
      <c r="Q47" s="9">
        <v>47.84999847412109</v>
      </c>
      <c r="R47" s="9">
        <v>43.90000152587891</v>
      </c>
      <c r="S47" s="9">
        <v>488.0700073242187</v>
      </c>
      <c r="T47" s="9">
        <v>101.2699966430664</v>
      </c>
      <c r="U47" s="9">
        <v>110.4700012207031</v>
      </c>
      <c r="V47" s="9">
        <v>80.30000305175781</v>
      </c>
      <c r="W47" s="9">
        <v>243.0599975585938</v>
      </c>
    </row>
    <row r="48" spans="1:23">
      <c r="A48" s="8">
        <v>45596</v>
      </c>
      <c r="B48" s="9">
        <v>555.813232421875</v>
      </c>
      <c r="C48" s="9">
        <v>213.2542114257812</v>
      </c>
      <c r="D48" s="9">
        <v>47.25878524780273</v>
      </c>
      <c r="E48" s="9">
        <v>44.05591583251953</v>
      </c>
      <c r="F48" s="9">
        <v>41.68061828613281</v>
      </c>
      <c r="G48" s="9">
        <v>479.0021362304687</v>
      </c>
      <c r="H48" s="9">
        <v>90.9457550048828</v>
      </c>
      <c r="I48" s="9">
        <v>100.776252746582</v>
      </c>
      <c r="J48" s="9">
        <v>70.42837524414062</v>
      </c>
      <c r="K48" s="9">
        <v>253.5099945068359</v>
      </c>
      <c r="N48" s="9">
        <v>568.6400146484375</v>
      </c>
      <c r="O48" s="9">
        <v>217.7599945068359</v>
      </c>
      <c r="P48" s="9">
        <v>50.09999847412109</v>
      </c>
      <c r="Q48" s="9">
        <v>46.56999969482422</v>
      </c>
      <c r="R48" s="9">
        <v>44.29499816894531</v>
      </c>
      <c r="S48" s="9">
        <v>483.8500061035156</v>
      </c>
      <c r="T48" s="9">
        <v>98.41999816894533</v>
      </c>
      <c r="U48" s="9">
        <v>108.3099975585938</v>
      </c>
      <c r="V48" s="9">
        <v>79.13999938964844</v>
      </c>
      <c r="W48" s="9">
        <v>253.5099945068359</v>
      </c>
    </row>
    <row r="49" spans="1:23">
      <c r="A49" s="8">
        <v>45626</v>
      </c>
      <c r="B49" s="9">
        <v>588.9584350585938</v>
      </c>
      <c r="C49" s="9">
        <v>236.8653259277344</v>
      </c>
      <c r="D49" s="9">
        <v>47.44743728637695</v>
      </c>
      <c r="E49" s="9">
        <v>43.10990524291992</v>
      </c>
      <c r="F49" s="9">
        <v>44.9458122253418</v>
      </c>
      <c r="G49" s="9">
        <v>504.6326599121094</v>
      </c>
      <c r="H49" s="9">
        <v>91.95614624023438</v>
      </c>
      <c r="I49" s="9">
        <v>101.2781829833984</v>
      </c>
      <c r="J49" s="9">
        <v>71.58660125732422</v>
      </c>
      <c r="K49" s="9">
        <v>245.5899963378907</v>
      </c>
      <c r="N49" s="9">
        <v>602.5499877929688</v>
      </c>
      <c r="O49" s="9">
        <v>241.8699951171875</v>
      </c>
      <c r="P49" s="9">
        <v>50.29999923706055</v>
      </c>
      <c r="Q49" s="9">
        <v>45.56999969482422</v>
      </c>
      <c r="R49" s="9">
        <v>47.76499938964844</v>
      </c>
      <c r="S49" s="9">
        <v>509.739990234375</v>
      </c>
      <c r="T49" s="9">
        <v>99.1999969482422</v>
      </c>
      <c r="U49" s="9">
        <v>108.7600021362305</v>
      </c>
      <c r="V49" s="9">
        <v>80.04000091552734</v>
      </c>
      <c r="W49" s="9">
        <v>245.5899963378907</v>
      </c>
    </row>
    <row r="50" spans="1:23">
      <c r="A50" s="8">
        <v>45657</v>
      </c>
      <c r="B50" s="9">
        <v>574.7880249023438</v>
      </c>
      <c r="C50" s="9">
        <v>217.0304718017578</v>
      </c>
      <c r="D50" s="9">
        <v>45.78394317626953</v>
      </c>
      <c r="E50" s="9">
        <v>42.66833877563477</v>
      </c>
      <c r="F50" s="9">
        <v>40.64019393920898</v>
      </c>
      <c r="G50" s="9">
        <v>506.9239196777344</v>
      </c>
      <c r="H50" s="9">
        <v>90.39896392822266</v>
      </c>
      <c r="I50" s="9">
        <v>99.5418701171875</v>
      </c>
      <c r="J50" s="9">
        <v>71.02801513671875</v>
      </c>
      <c r="K50" s="9">
        <v>242.1300048828125</v>
      </c>
      <c r="N50" s="9">
        <v>586.0800170898438</v>
      </c>
      <c r="O50" s="9">
        <v>220.9600067138672</v>
      </c>
      <c r="P50" s="9">
        <v>47.81999969482422</v>
      </c>
      <c r="Q50" s="9">
        <v>44.04000091552734</v>
      </c>
      <c r="R50" s="9">
        <v>42.83000183105469</v>
      </c>
      <c r="S50" s="9">
        <v>511.2300109863281</v>
      </c>
      <c r="T50" s="9">
        <v>96.90000152587891</v>
      </c>
      <c r="U50" s="9">
        <v>106.5500030517578</v>
      </c>
      <c r="V50" s="9">
        <v>78.65000152587891</v>
      </c>
      <c r="W50" s="9">
        <v>242.1300048828125</v>
      </c>
    </row>
    <row r="51" spans="1:23">
      <c r="A51" s="8">
        <v>45688</v>
      </c>
      <c r="B51" s="9">
        <v>590.224609375</v>
      </c>
      <c r="C51" s="9">
        <v>222.4523010253907</v>
      </c>
      <c r="D51" s="9">
        <v>47.81367492675781</v>
      </c>
      <c r="E51" s="9">
        <v>43.01713180541992</v>
      </c>
      <c r="F51" s="9">
        <v>41.5795783996582</v>
      </c>
      <c r="G51" s="9">
        <v>517.8906860351562</v>
      </c>
      <c r="H51" s="9">
        <v>90.8654327392578</v>
      </c>
      <c r="I51" s="9">
        <v>100.9058380126953</v>
      </c>
      <c r="J51" s="9">
        <v>71.99433135986328</v>
      </c>
      <c r="K51" s="9">
        <v>258.5599975585938</v>
      </c>
      <c r="N51" s="9">
        <v>601.8200073242188</v>
      </c>
      <c r="O51" s="9">
        <v>226.479995727539</v>
      </c>
      <c r="P51" s="9">
        <v>49.93999862670898</v>
      </c>
      <c r="Q51" s="9">
        <v>44.40000152587891</v>
      </c>
      <c r="R51" s="9">
        <v>43.81999969482422</v>
      </c>
      <c r="S51" s="9">
        <v>522.2899780273438</v>
      </c>
      <c r="T51" s="9">
        <v>97.40000152587891</v>
      </c>
      <c r="U51" s="9">
        <v>108.0100021362305</v>
      </c>
      <c r="V51" s="9">
        <v>79.72000122070312</v>
      </c>
      <c r="W51" s="9">
        <v>258.5599975585938</v>
      </c>
    </row>
    <row r="52" spans="1:23">
      <c r="A52" s="8">
        <v>45716</v>
      </c>
      <c r="B52" s="9">
        <v>582.73193359375</v>
      </c>
      <c r="C52" s="9">
        <v>210.8326721191407</v>
      </c>
      <c r="D52" s="9">
        <v>48.89556503295898</v>
      </c>
      <c r="E52" s="9">
        <v>43.33685302734375</v>
      </c>
      <c r="F52" s="9">
        <v>43.17367935180664</v>
      </c>
      <c r="G52" s="9">
        <v>503.8896789550781</v>
      </c>
      <c r="H52" s="9">
        <v>92.89842224121094</v>
      </c>
      <c r="I52" s="9">
        <v>103.0825805664062</v>
      </c>
      <c r="J52" s="9">
        <v>72.69287109375</v>
      </c>
      <c r="K52" s="9">
        <v>263.2699890136719</v>
      </c>
      <c r="N52" s="9">
        <v>594.1799926757812</v>
      </c>
      <c r="O52" s="9">
        <v>214.6499938964844</v>
      </c>
      <c r="P52" s="9">
        <v>51.06999969482422</v>
      </c>
      <c r="Q52" s="9">
        <v>44.72999954223633</v>
      </c>
      <c r="R52" s="9">
        <v>45.5</v>
      </c>
      <c r="S52" s="9">
        <v>508.1700134277344</v>
      </c>
      <c r="T52" s="9">
        <v>99.25</v>
      </c>
      <c r="U52" s="9">
        <v>110.3399963378906</v>
      </c>
      <c r="V52" s="9">
        <v>80.12999725341797</v>
      </c>
      <c r="W52" s="9">
        <v>263.2699890136719</v>
      </c>
    </row>
    <row r="53" spans="1:23">
      <c r="A53" s="8">
        <v>45747</v>
      </c>
      <c r="B53" s="9">
        <v>550.2625732421875</v>
      </c>
      <c r="C53" s="9">
        <v>196.3820037841797</v>
      </c>
      <c r="D53" s="9">
        <v>48.89080429077149</v>
      </c>
      <c r="E53" s="9">
        <v>43.89496231079102</v>
      </c>
      <c r="F53" s="9">
        <v>44.68183517456055</v>
      </c>
      <c r="G53" s="9">
        <v>465.6636352539062</v>
      </c>
      <c r="H53" s="9">
        <v>92.87401580810548</v>
      </c>
      <c r="I53" s="9">
        <v>103.7832565307617</v>
      </c>
      <c r="J53" s="9">
        <v>71.90354919433594</v>
      </c>
      <c r="K53" s="9">
        <v>288.1400146484375</v>
      </c>
      <c r="N53" s="9">
        <v>559.3900146484375</v>
      </c>
      <c r="O53" s="9">
        <v>199.4900054931641</v>
      </c>
      <c r="P53" s="9">
        <v>50.83000183105469</v>
      </c>
      <c r="Q53" s="9">
        <v>45.2599983215332</v>
      </c>
      <c r="R53" s="9">
        <v>46.72499847412109</v>
      </c>
      <c r="S53" s="9">
        <v>468.9200134277344</v>
      </c>
      <c r="T53" s="9">
        <v>98.91999816894533</v>
      </c>
      <c r="U53" s="9">
        <v>111.0899963378906</v>
      </c>
      <c r="V53" s="9">
        <v>78.88999938964844</v>
      </c>
      <c r="W53" s="9">
        <v>288.1400146484375</v>
      </c>
    </row>
    <row r="54" spans="1:23">
      <c r="A54" s="8">
        <v>45777</v>
      </c>
      <c r="B54" s="9">
        <v>545.49169921875</v>
      </c>
      <c r="C54" s="9">
        <v>191.8241271972656</v>
      </c>
      <c r="D54" s="9">
        <v>50.85297393798828</v>
      </c>
      <c r="E54" s="9">
        <v>43.88525772094727</v>
      </c>
      <c r="F54" s="9">
        <v>38.48997116088867</v>
      </c>
      <c r="G54" s="9">
        <v>472.1681518554687</v>
      </c>
      <c r="H54" s="9">
        <v>93.27435302734376</v>
      </c>
      <c r="I54" s="9">
        <v>103.913948059082</v>
      </c>
      <c r="J54" s="9">
        <v>71.98780822753906</v>
      </c>
      <c r="K54" s="9">
        <v>303.7699890136719</v>
      </c>
      <c r="N54" s="9">
        <v>554.5399780273438</v>
      </c>
      <c r="O54" s="9">
        <v>194.8600006103516</v>
      </c>
      <c r="P54" s="9">
        <v>52.86999893188477</v>
      </c>
      <c r="Q54" s="9">
        <v>45.25</v>
      </c>
      <c r="R54" s="9">
        <v>40.25</v>
      </c>
      <c r="S54" s="9">
        <v>475.4700012207031</v>
      </c>
      <c r="T54" s="9">
        <v>99.01999664306641</v>
      </c>
      <c r="U54" s="9">
        <v>110.5199966430664</v>
      </c>
      <c r="V54" s="9">
        <v>78.59999847412109</v>
      </c>
      <c r="W54" s="9">
        <v>303.7699890136719</v>
      </c>
    </row>
    <row r="55" spans="1:23">
      <c r="A55" s="8">
        <v>45808</v>
      </c>
      <c r="B55" s="9">
        <v>579.7730712890625</v>
      </c>
      <c r="C55" s="9">
        <v>201.8750610351562</v>
      </c>
      <c r="D55" s="9">
        <v>53.45959091186523</v>
      </c>
      <c r="E55" s="9">
        <v>45.58248519897461</v>
      </c>
      <c r="F55" s="9">
        <v>38.98245620727539</v>
      </c>
      <c r="G55" s="9">
        <v>515.5050659179688</v>
      </c>
      <c r="H55" s="9">
        <v>92.708251953125</v>
      </c>
      <c r="I55" s="9">
        <v>103.2573165893555</v>
      </c>
      <c r="J55" s="9">
        <v>73.24993133544922</v>
      </c>
      <c r="K55" s="9">
        <v>303.6000061035156</v>
      </c>
      <c r="N55" s="9">
        <v>589.3900146484375</v>
      </c>
      <c r="O55" s="9">
        <v>205.0700073242188</v>
      </c>
      <c r="P55" s="9">
        <v>55.58000183105469</v>
      </c>
      <c r="Q55" s="9">
        <v>47</v>
      </c>
      <c r="R55" s="9">
        <v>40.76499938964844</v>
      </c>
      <c r="S55" s="9">
        <v>519.1099853515625</v>
      </c>
      <c r="T55" s="9">
        <v>98.09999847412109</v>
      </c>
      <c r="U55" s="9">
        <v>109.2900009155273</v>
      </c>
      <c r="V55" s="9">
        <v>79.56999969482422</v>
      </c>
      <c r="W55" s="9">
        <v>303.6000061035156</v>
      </c>
    </row>
    <row r="56" spans="1:23">
      <c r="A56" s="8">
        <v>45838</v>
      </c>
      <c r="B56" s="9">
        <v>609.5653686523438</v>
      </c>
      <c r="C56" s="9">
        <v>213.0153961181641</v>
      </c>
      <c r="D56" s="9">
        <v>55.27114868164062</v>
      </c>
      <c r="E56" s="9">
        <v>48.1071662902832</v>
      </c>
      <c r="F56" s="9">
        <v>40.88061141967773</v>
      </c>
      <c r="G56" s="9">
        <v>548.4244995117188</v>
      </c>
      <c r="H56" s="9">
        <v>94.05751037597656</v>
      </c>
      <c r="I56" s="9">
        <v>104.2262496948242</v>
      </c>
      <c r="J56" s="9">
        <v>74.59663391113281</v>
      </c>
      <c r="K56" s="9">
        <v>304.8299865722656</v>
      </c>
      <c r="N56" s="9">
        <v>617.8499755859375</v>
      </c>
      <c r="O56" s="9">
        <v>215.7899932861328</v>
      </c>
      <c r="P56" s="9">
        <v>57.0099983215332</v>
      </c>
      <c r="Q56" s="9">
        <v>49.45999908447266</v>
      </c>
      <c r="R56" s="9">
        <v>42.40499877929688</v>
      </c>
      <c r="S56" s="9">
        <v>551.6400146484375</v>
      </c>
      <c r="T56" s="9">
        <v>99.1999969482422</v>
      </c>
      <c r="U56" s="9">
        <v>110.0400009155273</v>
      </c>
      <c r="V56" s="9">
        <v>80.65000152587891</v>
      </c>
      <c r="W56" s="9">
        <v>304.8299865722656</v>
      </c>
    </row>
    <row r="57" spans="1:23">
      <c r="A57" s="8">
        <v>45869</v>
      </c>
      <c r="B57" s="9">
        <v>623.6046142578125</v>
      </c>
      <c r="C57" s="9">
        <v>216.5691375732422</v>
      </c>
      <c r="D57" s="9">
        <v>54.5052490234375</v>
      </c>
      <c r="E57" s="9">
        <v>48.4378662109375</v>
      </c>
      <c r="F57" s="9">
        <v>42.0374755859375</v>
      </c>
      <c r="G57" s="9">
        <v>561.7164306640625</v>
      </c>
      <c r="H57" s="9">
        <v>93.80924987792967</v>
      </c>
      <c r="I57" s="9">
        <v>104.2357711791992</v>
      </c>
      <c r="J57" s="9">
        <v>74.69793701171875</v>
      </c>
      <c r="K57" s="9">
        <v>302.9599914550781</v>
      </c>
      <c r="N57" s="9">
        <v>632.0800170898438</v>
      </c>
      <c r="O57" s="9">
        <v>219.3899993896484</v>
      </c>
      <c r="P57" s="9">
        <v>56.22000122070312</v>
      </c>
      <c r="Q57" s="9">
        <v>49.79999923706055</v>
      </c>
      <c r="R57" s="9">
        <v>43.60499954223633</v>
      </c>
      <c r="S57" s="9">
        <v>565.010009765625</v>
      </c>
      <c r="T57" s="9">
        <v>98.62000274658205</v>
      </c>
      <c r="U57" s="9">
        <v>109.6699981689453</v>
      </c>
      <c r="V57" s="9">
        <v>80.37999725341797</v>
      </c>
      <c r="W57" s="9">
        <v>302.9599914550781</v>
      </c>
    </row>
    <row r="58" spans="1:23">
      <c r="A58" s="8">
        <v>45900</v>
      </c>
      <c r="B58" s="9">
        <v>636.400634765625</v>
      </c>
      <c r="C58" s="9">
        <v>232.146240234375</v>
      </c>
      <c r="D58" s="9">
        <v>56.91929626464844</v>
      </c>
      <c r="E58" s="9">
        <v>50.12054824829102</v>
      </c>
      <c r="F58" s="9">
        <v>43.57031631469727</v>
      </c>
      <c r="G58" s="9">
        <v>567.0751342773438</v>
      </c>
      <c r="H58" s="9">
        <v>94.92591094970705</v>
      </c>
      <c r="I58" s="9">
        <v>105.9164047241211</v>
      </c>
      <c r="J58" s="9">
        <v>75.52359008789062</v>
      </c>
      <c r="K58" s="9">
        <v>318.0700073242188</v>
      </c>
      <c r="N58" s="9">
        <v>645.0499877929688</v>
      </c>
      <c r="O58" s="9">
        <v>235.1699981689453</v>
      </c>
      <c r="P58" s="9">
        <v>58.70999908447266</v>
      </c>
      <c r="Q58" s="9">
        <v>51.52999877929688</v>
      </c>
      <c r="R58" s="9">
        <v>45.19499969482422</v>
      </c>
      <c r="S58" s="9">
        <v>570.4000244140625</v>
      </c>
      <c r="T58" s="9">
        <v>99.45999908447266</v>
      </c>
      <c r="U58" s="9">
        <v>111.1699981689453</v>
      </c>
      <c r="V58" s="9">
        <v>80.86000061035156</v>
      </c>
      <c r="W58" s="9">
        <v>318.0700073242188</v>
      </c>
    </row>
    <row r="59" spans="1:23">
      <c r="A59" s="8">
        <v>45930</v>
      </c>
      <c r="B59" s="9">
        <v>659.0695190429688</v>
      </c>
      <c r="C59" s="9">
        <v>239.5264129638672</v>
      </c>
      <c r="D59" s="9">
        <v>58.37062454223633</v>
      </c>
      <c r="E59" s="9">
        <v>52.97136688232422</v>
      </c>
      <c r="F59" s="9">
        <v>43.43167877197266</v>
      </c>
      <c r="G59" s="9">
        <v>597.5623168945312</v>
      </c>
      <c r="H59" s="9">
        <v>95.99549865722656</v>
      </c>
      <c r="I59" s="9">
        <v>106.3630142211914</v>
      </c>
      <c r="J59" s="9">
        <v>76.19270324707031</v>
      </c>
      <c r="K59" s="9">
        <v>355.4700012207031</v>
      </c>
      <c r="N59" s="9">
        <v>666.1799926757812</v>
      </c>
      <c r="O59" s="9">
        <v>241.9600067138672</v>
      </c>
      <c r="P59" s="9">
        <v>59.91999816894531</v>
      </c>
      <c r="Q59" s="9">
        <v>54.18000030517578</v>
      </c>
      <c r="R59" s="9">
        <v>44.66999816894531</v>
      </c>
      <c r="S59" s="9">
        <v>600.3699951171875</v>
      </c>
      <c r="T59" s="9">
        <v>100.25</v>
      </c>
      <c r="U59" s="9">
        <v>111.2200012207031</v>
      </c>
      <c r="V59" s="9">
        <v>81.19000244140625</v>
      </c>
      <c r="W59" s="9">
        <v>355.4700012207031</v>
      </c>
    </row>
    <row r="60" spans="1:23">
      <c r="A60" s="8">
        <v>45961</v>
      </c>
      <c r="B60" s="9">
        <v>674.780029296875</v>
      </c>
      <c r="C60" s="9">
        <v>243.7534637451172</v>
      </c>
      <c r="D60" s="9">
        <v>59.40321350097656</v>
      </c>
      <c r="E60" s="9">
        <v>53.74374389648438</v>
      </c>
      <c r="F60" s="9">
        <v>42.84344863891602</v>
      </c>
      <c r="G60" s="9">
        <v>626.1281127929688</v>
      </c>
      <c r="H60" s="9">
        <v>96.58631134033205</v>
      </c>
      <c r="I60" s="9">
        <v>106.7059936523438</v>
      </c>
      <c r="J60" s="9">
        <v>76.1842041015625</v>
      </c>
      <c r="K60" s="9">
        <v>368.1199951171875</v>
      </c>
      <c r="N60" s="9">
        <v>682.0599975585938</v>
      </c>
      <c r="O60" s="9">
        <v>246.229995727539</v>
      </c>
      <c r="P60" s="9">
        <v>60.97999954223633</v>
      </c>
      <c r="Q60" s="9">
        <v>54.97000122070312</v>
      </c>
      <c r="R60" s="9">
        <v>44.06499862670898</v>
      </c>
      <c r="S60" s="9">
        <v>629.0700073242188</v>
      </c>
      <c r="T60" s="9">
        <v>100.5400009155273</v>
      </c>
      <c r="U60" s="9">
        <v>111.379997253418</v>
      </c>
      <c r="V60" s="9">
        <v>80.80000305175781</v>
      </c>
      <c r="W60" s="9">
        <v>368.1199951171875</v>
      </c>
    </row>
    <row r="61" spans="1:23">
      <c r="A61" s="8">
        <v>45991</v>
      </c>
      <c r="B61" s="9">
        <v>676.0958251953125</v>
      </c>
      <c r="C61" s="9">
        <v>246.2481384277344</v>
      </c>
      <c r="D61" s="9">
        <v>59.97796249389648</v>
      </c>
      <c r="E61" s="9">
        <v>53.08868789672851</v>
      </c>
      <c r="F61" s="9">
        <v>43.97129058837891</v>
      </c>
      <c r="G61" s="9">
        <v>616.35400390625</v>
      </c>
      <c r="H61" s="9">
        <v>97.1713409423828</v>
      </c>
      <c r="I61" s="9">
        <v>106.9376449584961</v>
      </c>
      <c r="J61" s="9">
        <v>76.75281524658203</v>
      </c>
      <c r="K61" s="9">
        <v>387.8800048828125</v>
      </c>
      <c r="N61" s="9">
        <v>683.3900146484375</v>
      </c>
      <c r="O61" s="9">
        <v>248.75</v>
      </c>
      <c r="P61" s="9">
        <v>61.56999969482422</v>
      </c>
      <c r="Q61" s="9">
        <v>54.29999923706055</v>
      </c>
      <c r="R61" s="9">
        <v>45.22499847412109</v>
      </c>
      <c r="S61" s="9">
        <v>619.25</v>
      </c>
      <c r="T61" s="9">
        <v>100.8199996948242</v>
      </c>
      <c r="U61" s="9">
        <v>111.2600021362305</v>
      </c>
      <c r="V61" s="9">
        <v>80.98999786376953</v>
      </c>
      <c r="W61" s="9">
        <v>387.8800048828125</v>
      </c>
    </row>
    <row r="62" spans="1:23">
      <c r="A62" s="8">
        <v>46022</v>
      </c>
      <c r="B62" s="9">
        <v>676.635009765625</v>
      </c>
      <c r="C62" s="9">
        <v>244.5013580322266</v>
      </c>
      <c r="D62" s="9">
        <v>61.88428115844727</v>
      </c>
      <c r="E62" s="9">
        <v>53.59400177001953</v>
      </c>
      <c r="F62" s="9">
        <v>43.84112930297851</v>
      </c>
      <c r="G62" s="9">
        <v>612.2249145507812</v>
      </c>
      <c r="H62" s="9">
        <v>96.90026092529295</v>
      </c>
      <c r="I62" s="9">
        <v>106.2756271362305</v>
      </c>
      <c r="J62" s="9">
        <v>77.13088989257812</v>
      </c>
      <c r="K62" s="9">
        <v>396.3099975585938</v>
      </c>
      <c r="N62" s="9">
        <v>681.9199829101562</v>
      </c>
      <c r="O62" s="9">
        <v>246.1600036621093</v>
      </c>
      <c r="P62" s="9">
        <v>62.47000122070312</v>
      </c>
      <c r="Q62" s="9">
        <v>53.7599983215332</v>
      </c>
      <c r="R62" s="9">
        <v>44.70999908447266</v>
      </c>
      <c r="S62" s="9">
        <v>614.3099975585938</v>
      </c>
      <c r="T62" s="9">
        <v>99.87999725341795</v>
      </c>
      <c r="U62" s="9">
        <v>109.9100036621094</v>
      </c>
      <c r="V62" s="9">
        <v>80.62999725341797</v>
      </c>
      <c r="W62" s="9">
        <v>396.3099975585938</v>
      </c>
    </row>
    <row r="64" spans="1:23">
      <c r="A64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4" t="s">
        <v>0</v>
      </c>
      <c r="B1" s="4" t="s">
        <v>13</v>
      </c>
      <c r="C1" s="4" t="s">
        <v>14</v>
      </c>
      <c r="D1" s="4" t="s">
        <v>15</v>
      </c>
      <c r="E1" s="4" t="s">
        <v>16</v>
      </c>
      <c r="H1" s="4" t="s">
        <v>0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</row>
    <row r="2" spans="1:14">
      <c r="A2" s="8">
        <v>44196</v>
      </c>
      <c r="B2" s="6">
        <v>4.63</v>
      </c>
      <c r="C2" s="6">
        <v>5.01</v>
      </c>
      <c r="D2" s="6">
        <v>-1.68</v>
      </c>
      <c r="E2" s="6">
        <v>0.01</v>
      </c>
      <c r="H2" s="8">
        <v>43496</v>
      </c>
      <c r="I2" s="6">
        <v>2.713809523809524</v>
      </c>
      <c r="J2" s="6">
        <v>0.1704761904761904</v>
      </c>
      <c r="K2" s="6">
        <v>19.57238095238095</v>
      </c>
      <c r="L2" s="6">
        <v>2.4</v>
      </c>
      <c r="M2" s="6">
        <v>252.561</v>
      </c>
      <c r="N2" s="6">
        <v>4</v>
      </c>
    </row>
    <row r="3" spans="1:14">
      <c r="A3" s="8">
        <v>44227</v>
      </c>
      <c r="B3" s="6">
        <v>-0.07000000000000001</v>
      </c>
      <c r="C3" s="6">
        <v>7.14</v>
      </c>
      <c r="D3" s="6">
        <v>3.22</v>
      </c>
      <c r="E3" s="6">
        <v>0</v>
      </c>
      <c r="H3" s="8">
        <v>43524</v>
      </c>
      <c r="I3" s="6">
        <v>2.676315789473684</v>
      </c>
      <c r="J3" s="6">
        <v>0.1721052631578947</v>
      </c>
      <c r="K3" s="6">
        <v>15.23473684210526</v>
      </c>
      <c r="L3" s="6">
        <v>2.4</v>
      </c>
      <c r="M3" s="6">
        <v>253.319</v>
      </c>
      <c r="N3" s="6">
        <v>3.8</v>
      </c>
    </row>
    <row r="4" spans="1:14">
      <c r="A4" s="8">
        <v>44255</v>
      </c>
      <c r="B4" s="6">
        <v>2.81</v>
      </c>
      <c r="C4" s="6">
        <v>2.02</v>
      </c>
      <c r="D4" s="6">
        <v>7.2</v>
      </c>
      <c r="E4" s="6">
        <v>0</v>
      </c>
      <c r="H4" s="8">
        <v>43555</v>
      </c>
      <c r="I4" s="6">
        <v>2.570952380952381</v>
      </c>
      <c r="J4" s="6">
        <v>0.1614285714285714</v>
      </c>
      <c r="K4" s="6">
        <v>14.4852380952381</v>
      </c>
      <c r="L4" s="6">
        <v>2.41</v>
      </c>
      <c r="M4" s="6">
        <v>254.277</v>
      </c>
      <c r="N4" s="6">
        <v>3.8</v>
      </c>
    </row>
    <row r="5" spans="1:14">
      <c r="A5" s="8">
        <v>44286</v>
      </c>
      <c r="B5" s="6">
        <v>3.17</v>
      </c>
      <c r="C5" s="6">
        <v>-2.33</v>
      </c>
      <c r="D5" s="6">
        <v>7.35</v>
      </c>
      <c r="E5" s="6">
        <v>0</v>
      </c>
      <c r="H5" s="8">
        <v>43585</v>
      </c>
      <c r="I5" s="6">
        <v>2.532380952380952</v>
      </c>
      <c r="J5" s="6">
        <v>0.1876190476190476</v>
      </c>
      <c r="K5" s="6">
        <v>12.94904761904762</v>
      </c>
      <c r="L5" s="6">
        <v>2.42</v>
      </c>
      <c r="M5" s="6">
        <v>255.233</v>
      </c>
      <c r="N5" s="6">
        <v>3.7</v>
      </c>
    </row>
    <row r="6" spans="1:14">
      <c r="A6" s="8">
        <v>44316</v>
      </c>
      <c r="B6" s="6">
        <v>4.95</v>
      </c>
      <c r="C6" s="6">
        <v>-3.19</v>
      </c>
      <c r="D6" s="6">
        <v>-1.02</v>
      </c>
      <c r="E6" s="6">
        <v>0</v>
      </c>
      <c r="H6" s="8">
        <v>43616</v>
      </c>
      <c r="I6" s="6">
        <v>2.395</v>
      </c>
      <c r="J6" s="6">
        <v>0.1886363636363636</v>
      </c>
      <c r="K6" s="6">
        <v>16.72181818181818</v>
      </c>
      <c r="L6" s="6">
        <v>2.39</v>
      </c>
      <c r="M6" s="6">
        <v>255.296</v>
      </c>
      <c r="N6" s="6">
        <v>3.6</v>
      </c>
    </row>
    <row r="7" spans="1:14">
      <c r="A7" s="8">
        <v>44347</v>
      </c>
      <c r="B7" s="6">
        <v>0.3</v>
      </c>
      <c r="C7" s="6">
        <v>-0.2</v>
      </c>
      <c r="D7" s="6">
        <v>7.04</v>
      </c>
      <c r="E7" s="6">
        <v>0</v>
      </c>
      <c r="H7" s="8">
        <v>43646</v>
      </c>
      <c r="I7" s="6">
        <v>2.074</v>
      </c>
      <c r="J7" s="6">
        <v>0.26</v>
      </c>
      <c r="K7" s="6">
        <v>15.836</v>
      </c>
      <c r="L7" s="6">
        <v>2.38</v>
      </c>
      <c r="M7" s="6">
        <v>255.213</v>
      </c>
      <c r="N7" s="6">
        <v>3.6</v>
      </c>
    </row>
    <row r="8" spans="1:14">
      <c r="A8" s="8">
        <v>44377</v>
      </c>
      <c r="B8" s="6">
        <v>2.74</v>
      </c>
      <c r="C8" s="6">
        <v>1.7</v>
      </c>
      <c r="D8" s="6">
        <v>-7.86</v>
      </c>
      <c r="E8" s="6">
        <v>0</v>
      </c>
      <c r="H8" s="8">
        <v>43677</v>
      </c>
      <c r="I8" s="6">
        <v>2.059090909090909</v>
      </c>
      <c r="J8" s="6">
        <v>0.2240909090909091</v>
      </c>
      <c r="K8" s="6">
        <v>13.30590909090909</v>
      </c>
      <c r="L8" s="6">
        <v>2.4</v>
      </c>
      <c r="M8" s="6">
        <v>255.802</v>
      </c>
      <c r="N8" s="6">
        <v>3.7</v>
      </c>
    </row>
    <row r="9" spans="1:14">
      <c r="A9" s="8">
        <v>44408</v>
      </c>
      <c r="B9" s="6">
        <v>1.34</v>
      </c>
      <c r="C9" s="6">
        <v>-3.93</v>
      </c>
      <c r="D9" s="6">
        <v>-1.8</v>
      </c>
      <c r="E9" s="6">
        <v>0</v>
      </c>
      <c r="H9" s="8">
        <v>43708</v>
      </c>
      <c r="I9" s="6">
        <v>1.626363636363636</v>
      </c>
      <c r="J9" s="6">
        <v>0.055</v>
      </c>
      <c r="K9" s="6">
        <v>18.97909090909091</v>
      </c>
      <c r="L9" s="6">
        <v>2.13</v>
      </c>
      <c r="M9" s="6">
        <v>256.036</v>
      </c>
      <c r="N9" s="6">
        <v>3.6</v>
      </c>
    </row>
    <row r="10" spans="1:14">
      <c r="A10" s="8">
        <v>44439</v>
      </c>
      <c r="B10" s="6">
        <v>2.94</v>
      </c>
      <c r="C10" s="6">
        <v>-0.32</v>
      </c>
      <c r="D10" s="6">
        <v>-0.23</v>
      </c>
      <c r="E10" s="6">
        <v>0</v>
      </c>
      <c r="H10" s="8">
        <v>43738</v>
      </c>
      <c r="I10" s="6">
        <v>1.6995</v>
      </c>
      <c r="J10" s="6">
        <v>0.0515</v>
      </c>
      <c r="K10" s="6">
        <v>15.559</v>
      </c>
      <c r="L10" s="6">
        <v>2.04</v>
      </c>
      <c r="M10" s="6">
        <v>256.43</v>
      </c>
      <c r="N10" s="6">
        <v>3.5</v>
      </c>
    </row>
    <row r="11" spans="1:14">
      <c r="A11" s="8">
        <v>44469</v>
      </c>
      <c r="B11" s="6">
        <v>-4.4</v>
      </c>
      <c r="C11" s="6">
        <v>0.66</v>
      </c>
      <c r="D11" s="6">
        <v>5.12</v>
      </c>
      <c r="E11" s="6">
        <v>0</v>
      </c>
      <c r="H11" s="8">
        <v>43769</v>
      </c>
      <c r="I11" s="6">
        <v>1.706818181818182</v>
      </c>
      <c r="J11" s="6">
        <v>0.1554545454545454</v>
      </c>
      <c r="K11" s="6">
        <v>15.46652173913044</v>
      </c>
      <c r="L11" s="6">
        <v>1.83</v>
      </c>
      <c r="M11" s="6">
        <v>257.155</v>
      </c>
      <c r="N11" s="6">
        <v>3.6</v>
      </c>
    </row>
    <row r="12" spans="1:14">
      <c r="A12" s="8">
        <v>44500</v>
      </c>
      <c r="B12" s="6">
        <v>6.63</v>
      </c>
      <c r="C12" s="6">
        <v>-2.26</v>
      </c>
      <c r="D12" s="6">
        <v>-0.53</v>
      </c>
      <c r="E12" s="6">
        <v>0</v>
      </c>
      <c r="H12" s="8">
        <v>43799</v>
      </c>
      <c r="I12" s="6">
        <v>1.812105263157895</v>
      </c>
      <c r="J12" s="6">
        <v>0.1994736842105263</v>
      </c>
      <c r="K12" s="6">
        <v>12.5235</v>
      </c>
      <c r="L12" s="6">
        <v>1.55</v>
      </c>
      <c r="M12" s="6">
        <v>257.879</v>
      </c>
      <c r="N12" s="6">
        <v>3.6</v>
      </c>
    </row>
    <row r="13" spans="1:14">
      <c r="A13" s="8">
        <v>44530</v>
      </c>
      <c r="B13" s="6">
        <v>-1.58</v>
      </c>
      <c r="C13" s="6">
        <v>-1.31</v>
      </c>
      <c r="D13" s="6">
        <v>-0.37</v>
      </c>
      <c r="E13" s="6">
        <v>0</v>
      </c>
      <c r="H13" s="8">
        <v>43830</v>
      </c>
      <c r="I13" s="6">
        <v>1.862857142857143</v>
      </c>
      <c r="J13" s="6">
        <v>0.2495238095238095</v>
      </c>
      <c r="K13" s="6">
        <v>13.75666666666667</v>
      </c>
      <c r="L13" s="6">
        <v>1.55</v>
      </c>
      <c r="M13" s="6">
        <v>258.63</v>
      </c>
      <c r="N13" s="6">
        <v>3.6</v>
      </c>
    </row>
    <row r="14" spans="1:14">
      <c r="A14" s="8">
        <v>44561</v>
      </c>
      <c r="B14" s="6">
        <v>3.23</v>
      </c>
      <c r="C14" s="6">
        <v>-1.63</v>
      </c>
      <c r="D14" s="6">
        <v>3.25</v>
      </c>
      <c r="E14" s="6">
        <v>0.01</v>
      </c>
      <c r="H14" s="8">
        <v>43861</v>
      </c>
      <c r="I14" s="6">
        <v>1.757619047619048</v>
      </c>
      <c r="J14" s="6">
        <v>0.2385714285714285</v>
      </c>
      <c r="K14" s="6">
        <v>13.94095238095238</v>
      </c>
      <c r="L14" s="6">
        <v>1.55</v>
      </c>
      <c r="M14" s="6">
        <v>259.127</v>
      </c>
      <c r="N14" s="6">
        <v>3.6</v>
      </c>
    </row>
    <row r="15" spans="1:14">
      <c r="A15" s="8">
        <v>44592</v>
      </c>
      <c r="B15" s="6">
        <v>-6.16</v>
      </c>
      <c r="C15" s="6">
        <v>-5.93</v>
      </c>
      <c r="D15" s="6">
        <v>12.86</v>
      </c>
      <c r="E15" s="6">
        <v>0</v>
      </c>
      <c r="H15" s="8">
        <v>43890</v>
      </c>
      <c r="I15" s="6">
        <v>1.50421052631579</v>
      </c>
      <c r="J15" s="6">
        <v>0.1731578947368421</v>
      </c>
      <c r="K15" s="6">
        <v>19.62894736842105</v>
      </c>
      <c r="L15" s="6">
        <v>1.58</v>
      </c>
      <c r="M15" s="6">
        <v>259.25</v>
      </c>
      <c r="N15" s="6">
        <v>3.5</v>
      </c>
    </row>
    <row r="16" spans="1:14">
      <c r="A16" s="8">
        <v>44620</v>
      </c>
      <c r="B16" s="6">
        <v>-2.28</v>
      </c>
      <c r="C16" s="6">
        <v>2.16</v>
      </c>
      <c r="D16" s="6">
        <v>3.06</v>
      </c>
      <c r="E16" s="6">
        <v>0</v>
      </c>
      <c r="H16" s="8">
        <v>43921</v>
      </c>
      <c r="I16" s="6">
        <v>0.87</v>
      </c>
      <c r="J16" s="6">
        <v>0.4218181818181818</v>
      </c>
      <c r="K16" s="6">
        <v>57.73681818181819</v>
      </c>
      <c r="L16" s="6">
        <v>0.65</v>
      </c>
      <c r="M16" s="6">
        <v>258.076</v>
      </c>
      <c r="N16" s="6">
        <v>4.4</v>
      </c>
    </row>
    <row r="17" spans="1:14">
      <c r="A17" s="8">
        <v>44651</v>
      </c>
      <c r="B17" s="6">
        <v>3.08</v>
      </c>
      <c r="C17" s="6">
        <v>-1.55</v>
      </c>
      <c r="D17" s="6">
        <v>-1.9</v>
      </c>
      <c r="E17" s="6">
        <v>0</v>
      </c>
      <c r="H17" s="8">
        <v>43951</v>
      </c>
      <c r="I17" s="6">
        <v>0.6576190476190477</v>
      </c>
      <c r="J17" s="6">
        <v>0.4328571428571428</v>
      </c>
      <c r="K17" s="6">
        <v>41.45380952380953</v>
      </c>
      <c r="L17" s="6">
        <v>0.05</v>
      </c>
      <c r="M17" s="6">
        <v>256.032</v>
      </c>
      <c r="N17" s="6">
        <v>14.8</v>
      </c>
    </row>
    <row r="18" spans="1:14">
      <c r="A18" s="8">
        <v>44681</v>
      </c>
      <c r="B18" s="6">
        <v>-9.41</v>
      </c>
      <c r="C18" s="6">
        <v>-1.35</v>
      </c>
      <c r="D18" s="6">
        <v>6.18</v>
      </c>
      <c r="E18" s="6">
        <v>0</v>
      </c>
      <c r="H18" s="8">
        <v>43982</v>
      </c>
      <c r="I18" s="6">
        <v>0.674</v>
      </c>
      <c r="J18" s="6">
        <v>0.5035000000000001</v>
      </c>
      <c r="K18" s="6">
        <v>30.897</v>
      </c>
      <c r="L18" s="6">
        <v>0.05</v>
      </c>
      <c r="M18" s="6">
        <v>255.802</v>
      </c>
      <c r="N18" s="6">
        <v>13.2</v>
      </c>
    </row>
    <row r="19" spans="1:14">
      <c r="A19" s="8">
        <v>44712</v>
      </c>
      <c r="B19" s="6">
        <v>-0.34</v>
      </c>
      <c r="C19" s="6">
        <v>-1.84</v>
      </c>
      <c r="D19" s="6">
        <v>8.44</v>
      </c>
      <c r="E19" s="6">
        <v>0.03</v>
      </c>
      <c r="H19" s="8">
        <v>44012</v>
      </c>
      <c r="I19" s="6">
        <v>0.7286363636363636</v>
      </c>
      <c r="J19" s="6">
        <v>0.5436363636363637</v>
      </c>
      <c r="K19" s="6">
        <v>31.11954545454546</v>
      </c>
      <c r="L19" s="6">
        <v>0.08</v>
      </c>
      <c r="M19" s="6">
        <v>257.042</v>
      </c>
      <c r="N19" s="6">
        <v>11</v>
      </c>
    </row>
    <row r="20" spans="1:14">
      <c r="A20" s="8">
        <v>44742</v>
      </c>
      <c r="B20" s="6">
        <v>-8.4</v>
      </c>
      <c r="C20" s="6">
        <v>2.07</v>
      </c>
      <c r="D20" s="6">
        <v>-6</v>
      </c>
      <c r="E20" s="6">
        <v>0.06</v>
      </c>
      <c r="H20" s="8">
        <v>44043</v>
      </c>
      <c r="I20" s="6">
        <v>0.6236363636363637</v>
      </c>
      <c r="J20" s="6">
        <v>0.4754545454545455</v>
      </c>
      <c r="K20" s="6">
        <v>26.84045454545454</v>
      </c>
      <c r="L20" s="6">
        <v>0.09</v>
      </c>
      <c r="M20" s="6">
        <v>258.352</v>
      </c>
      <c r="N20" s="6">
        <v>10.2</v>
      </c>
    </row>
    <row r="21" spans="1:14">
      <c r="A21" s="8">
        <v>44773</v>
      </c>
      <c r="B21" s="6">
        <v>9.57</v>
      </c>
      <c r="C21" s="6">
        <v>2.86</v>
      </c>
      <c r="D21" s="6">
        <v>-4.13</v>
      </c>
      <c r="E21" s="6">
        <v>0.08</v>
      </c>
      <c r="H21" s="8">
        <v>44074</v>
      </c>
      <c r="I21" s="6">
        <v>0.65</v>
      </c>
      <c r="J21" s="6">
        <v>0.5104761904761905</v>
      </c>
      <c r="K21" s="6">
        <v>22.88952380952381</v>
      </c>
      <c r="L21" s="6">
        <v>0.1</v>
      </c>
      <c r="M21" s="6">
        <v>259.316</v>
      </c>
      <c r="N21" s="6">
        <v>8.4</v>
      </c>
    </row>
    <row r="22" spans="1:14">
      <c r="A22" s="8">
        <v>44804</v>
      </c>
      <c r="B22" s="6">
        <v>-3.77</v>
      </c>
      <c r="C22" s="6">
        <v>1.41</v>
      </c>
      <c r="D22" s="6">
        <v>0.18</v>
      </c>
      <c r="E22" s="6">
        <v>0.19</v>
      </c>
      <c r="H22" s="8">
        <v>44104</v>
      </c>
      <c r="I22" s="6">
        <v>0.6795238095238095</v>
      </c>
      <c r="J22" s="6">
        <v>0.5447619047619048</v>
      </c>
      <c r="K22" s="6">
        <v>27.64761904761905</v>
      </c>
      <c r="L22" s="6">
        <v>0.09</v>
      </c>
      <c r="M22" s="6">
        <v>259.997</v>
      </c>
      <c r="N22" s="6">
        <v>7.8</v>
      </c>
    </row>
    <row r="23" spans="1:14">
      <c r="A23" s="8">
        <v>44834</v>
      </c>
      <c r="B23" s="6">
        <v>-9.34</v>
      </c>
      <c r="C23" s="6">
        <v>-0.76</v>
      </c>
      <c r="D23" s="6">
        <v>0.03</v>
      </c>
      <c r="E23" s="6">
        <v>0.19</v>
      </c>
      <c r="H23" s="8">
        <v>44135</v>
      </c>
      <c r="I23" s="6">
        <v>0.7871428571428571</v>
      </c>
      <c r="J23" s="6">
        <v>0.6376190476190476</v>
      </c>
      <c r="K23" s="6">
        <v>29.43863636363636</v>
      </c>
      <c r="L23" s="6">
        <v>0.09</v>
      </c>
      <c r="M23" s="6">
        <v>260.319</v>
      </c>
      <c r="N23" s="6">
        <v>6.9</v>
      </c>
    </row>
    <row r="24" spans="1:14">
      <c r="A24" s="8">
        <v>44865</v>
      </c>
      <c r="B24" s="6">
        <v>7.85</v>
      </c>
      <c r="C24" s="6">
        <v>0.01</v>
      </c>
      <c r="D24" s="6">
        <v>7.97</v>
      </c>
      <c r="E24" s="6">
        <v>0.23</v>
      </c>
      <c r="H24" s="8">
        <v>44165</v>
      </c>
      <c r="I24" s="6">
        <v>0.8700000000000001</v>
      </c>
      <c r="J24" s="6">
        <v>0.7042105263157895</v>
      </c>
      <c r="K24" s="6">
        <v>24.9955</v>
      </c>
      <c r="L24" s="6">
        <v>0.09</v>
      </c>
      <c r="M24" s="6">
        <v>260.911</v>
      </c>
      <c r="N24" s="6">
        <v>6.7</v>
      </c>
    </row>
    <row r="25" spans="1:14">
      <c r="A25" s="8">
        <v>44895</v>
      </c>
      <c r="B25" s="6">
        <v>4.65</v>
      </c>
      <c r="C25" s="6">
        <v>-3.57</v>
      </c>
      <c r="D25" s="6">
        <v>1.48</v>
      </c>
      <c r="E25" s="6">
        <v>0.29</v>
      </c>
      <c r="H25" s="8">
        <v>44196</v>
      </c>
      <c r="I25" s="6">
        <v>0.9336363636363636</v>
      </c>
      <c r="J25" s="6">
        <v>0.7977272727272727</v>
      </c>
      <c r="K25" s="6">
        <v>22.37409090909091</v>
      </c>
      <c r="L25" s="6">
        <v>0.09</v>
      </c>
      <c r="M25" s="6">
        <v>262.045</v>
      </c>
      <c r="N25" s="6">
        <v>6.7</v>
      </c>
    </row>
    <row r="26" spans="1:14">
      <c r="A26" s="8">
        <v>44926</v>
      </c>
      <c r="B26" s="6">
        <v>-6.38</v>
      </c>
      <c r="C26" s="6">
        <v>-0.76</v>
      </c>
      <c r="D26" s="6">
        <v>1.34</v>
      </c>
      <c r="E26" s="6">
        <v>0.33</v>
      </c>
      <c r="H26" s="8">
        <v>44227</v>
      </c>
      <c r="I26" s="6">
        <v>1.081052631578947</v>
      </c>
      <c r="J26" s="6">
        <v>0.95</v>
      </c>
      <c r="K26" s="6">
        <v>24.91</v>
      </c>
      <c r="L26" s="6">
        <v>0.09</v>
      </c>
      <c r="M26" s="6">
        <v>262.687</v>
      </c>
      <c r="N26" s="6">
        <v>6.4</v>
      </c>
    </row>
    <row r="27" spans="1:14">
      <c r="A27" s="8">
        <v>44957</v>
      </c>
      <c r="B27" s="6">
        <v>6.61</v>
      </c>
      <c r="C27" s="6">
        <v>5.01</v>
      </c>
      <c r="D27" s="6">
        <v>-3.94</v>
      </c>
      <c r="E27" s="6">
        <v>0.35</v>
      </c>
      <c r="H27" s="8">
        <v>44255</v>
      </c>
      <c r="I27" s="6">
        <v>1.257894736842105</v>
      </c>
      <c r="J27" s="6">
        <v>1.142631578947368</v>
      </c>
      <c r="K27" s="6">
        <v>23.14052631578948</v>
      </c>
      <c r="L27" s="6">
        <v>0.08</v>
      </c>
      <c r="M27" s="6">
        <v>263.579</v>
      </c>
      <c r="N27" s="6">
        <v>6.2</v>
      </c>
    </row>
    <row r="28" spans="1:14">
      <c r="A28" s="8">
        <v>44985</v>
      </c>
      <c r="B28" s="6">
        <v>-2.57</v>
      </c>
      <c r="C28" s="6">
        <v>1.05</v>
      </c>
      <c r="D28" s="6">
        <v>-0.8</v>
      </c>
      <c r="E28" s="6">
        <v>0.34</v>
      </c>
      <c r="H28" s="8">
        <v>44286</v>
      </c>
      <c r="I28" s="6">
        <v>1.610869565217391</v>
      </c>
      <c r="J28" s="6">
        <v>1.463913043478261</v>
      </c>
      <c r="K28" s="6">
        <v>21.84304347826087</v>
      </c>
      <c r="L28" s="6">
        <v>0.07000000000000001</v>
      </c>
      <c r="M28" s="6">
        <v>264.961</v>
      </c>
      <c r="N28" s="6">
        <v>6.1</v>
      </c>
    </row>
    <row r="29" spans="1:14">
      <c r="A29" s="8">
        <v>45016</v>
      </c>
      <c r="B29" s="6">
        <v>2.48</v>
      </c>
      <c r="C29" s="6">
        <v>-5.48</v>
      </c>
      <c r="D29" s="6">
        <v>-9.050000000000001</v>
      </c>
      <c r="E29" s="6">
        <v>0.36</v>
      </c>
      <c r="H29" s="8">
        <v>44316</v>
      </c>
      <c r="I29" s="6">
        <v>1.635</v>
      </c>
      <c r="J29" s="6">
        <v>1.471818181818182</v>
      </c>
      <c r="K29" s="6">
        <v>17.41619047619048</v>
      </c>
      <c r="L29" s="6">
        <v>0.07000000000000001</v>
      </c>
      <c r="M29" s="6">
        <v>266.614</v>
      </c>
      <c r="N29" s="6">
        <v>6.1</v>
      </c>
    </row>
    <row r="30" spans="1:14">
      <c r="A30" s="8">
        <v>45046</v>
      </c>
      <c r="B30" s="6">
        <v>0.62</v>
      </c>
      <c r="C30" s="6">
        <v>-3.37</v>
      </c>
      <c r="D30" s="6">
        <v>-0.12</v>
      </c>
      <c r="E30" s="6">
        <v>0.35</v>
      </c>
      <c r="H30" s="8">
        <v>44347</v>
      </c>
      <c r="I30" s="6">
        <v>1.621</v>
      </c>
      <c r="J30" s="6">
        <v>1.466</v>
      </c>
      <c r="K30" s="6">
        <v>19.7605</v>
      </c>
      <c r="L30" s="6">
        <v>0.06</v>
      </c>
      <c r="M30" s="6">
        <v>268.383</v>
      </c>
      <c r="N30" s="6">
        <v>5.8</v>
      </c>
    </row>
    <row r="31" spans="1:14">
      <c r="A31" s="8">
        <v>45077</v>
      </c>
      <c r="B31" s="6">
        <v>0.34</v>
      </c>
      <c r="C31" s="6">
        <v>1.6</v>
      </c>
      <c r="D31" s="6">
        <v>-7.79</v>
      </c>
      <c r="E31" s="6">
        <v>0.36</v>
      </c>
      <c r="H31" s="8">
        <v>44377</v>
      </c>
      <c r="I31" s="6">
        <v>1.519090909090909</v>
      </c>
      <c r="J31" s="6">
        <v>1.316363636363636</v>
      </c>
      <c r="K31" s="6">
        <v>16.95681818181818</v>
      </c>
      <c r="L31" s="6">
        <v>0.08</v>
      </c>
      <c r="M31" s="6">
        <v>270.654</v>
      </c>
      <c r="N31" s="6">
        <v>5.9</v>
      </c>
    </row>
    <row r="32" spans="1:14">
      <c r="A32" s="8">
        <v>45107</v>
      </c>
      <c r="B32" s="6">
        <v>6.46</v>
      </c>
      <c r="C32" s="6">
        <v>1.49</v>
      </c>
      <c r="D32" s="6">
        <v>-0.13</v>
      </c>
      <c r="E32" s="6">
        <v>0.4</v>
      </c>
      <c r="H32" s="8">
        <v>44408</v>
      </c>
      <c r="I32" s="6">
        <v>1.318571428571429</v>
      </c>
      <c r="J32" s="6">
        <v>1.099047619047619</v>
      </c>
      <c r="K32" s="6">
        <v>17.60333333333334</v>
      </c>
      <c r="L32" s="6">
        <v>0.1</v>
      </c>
      <c r="M32" s="6">
        <v>271.903</v>
      </c>
      <c r="N32" s="6">
        <v>5.4</v>
      </c>
    </row>
    <row r="33" spans="1:14">
      <c r="A33" s="8">
        <v>45138</v>
      </c>
      <c r="B33" s="6">
        <v>3.21</v>
      </c>
      <c r="C33" s="6">
        <v>2.05</v>
      </c>
      <c r="D33" s="6">
        <v>4.06</v>
      </c>
      <c r="E33" s="6">
        <v>0.45</v>
      </c>
      <c r="H33" s="8">
        <v>44439</v>
      </c>
      <c r="I33" s="6">
        <v>1.283181818181818</v>
      </c>
      <c r="J33" s="6">
        <v>1.065909090909091</v>
      </c>
      <c r="K33" s="6">
        <v>17.47272727272727</v>
      </c>
      <c r="L33" s="6">
        <v>0.09</v>
      </c>
      <c r="M33" s="6">
        <v>272.676</v>
      </c>
      <c r="N33" s="6">
        <v>5.1</v>
      </c>
    </row>
    <row r="34" spans="1:14">
      <c r="A34" s="8">
        <v>45169</v>
      </c>
      <c r="B34" s="6">
        <v>-2.36</v>
      </c>
      <c r="C34" s="6">
        <v>-3.13</v>
      </c>
      <c r="D34" s="6">
        <v>-1.15</v>
      </c>
      <c r="E34" s="6">
        <v>0.45</v>
      </c>
      <c r="H34" s="8">
        <v>44469</v>
      </c>
      <c r="I34" s="6">
        <v>1.374761904761905</v>
      </c>
      <c r="J34" s="6">
        <v>1.133809523809524</v>
      </c>
      <c r="K34" s="6">
        <v>19.8247619047619</v>
      </c>
      <c r="L34" s="6">
        <v>0.08</v>
      </c>
      <c r="M34" s="6">
        <v>273.91</v>
      </c>
      <c r="N34" s="6">
        <v>4.7</v>
      </c>
    </row>
    <row r="35" spans="1:14">
      <c r="A35" s="8">
        <v>45199</v>
      </c>
      <c r="B35" s="6">
        <v>-5.23</v>
      </c>
      <c r="C35" s="6">
        <v>-2.5</v>
      </c>
      <c r="D35" s="6">
        <v>1.5</v>
      </c>
      <c r="E35" s="6">
        <v>0.43</v>
      </c>
      <c r="H35" s="8">
        <v>44500</v>
      </c>
      <c r="I35" s="6">
        <v>1.5825</v>
      </c>
      <c r="J35" s="6">
        <v>1.19</v>
      </c>
      <c r="K35" s="6">
        <v>17.87142857142857</v>
      </c>
      <c r="L35" s="6">
        <v>0.08</v>
      </c>
      <c r="M35" s="6">
        <v>276.55</v>
      </c>
      <c r="N35" s="6">
        <v>4.5</v>
      </c>
    </row>
    <row r="36" spans="1:14">
      <c r="A36" s="8">
        <v>45230</v>
      </c>
      <c r="B36" s="6">
        <v>-3.15</v>
      </c>
      <c r="C36" s="6">
        <v>-3.87</v>
      </c>
      <c r="D36" s="6">
        <v>0.22</v>
      </c>
      <c r="E36" s="6">
        <v>0.47</v>
      </c>
      <c r="H36" s="8">
        <v>44530</v>
      </c>
      <c r="I36" s="6">
        <v>1.5595</v>
      </c>
      <c r="J36" s="6">
        <v>1.0515</v>
      </c>
      <c r="K36" s="6">
        <v>18.50047619047619</v>
      </c>
      <c r="L36" s="6">
        <v>0.08</v>
      </c>
      <c r="M36" s="6">
        <v>278.919</v>
      </c>
      <c r="N36" s="6">
        <v>4.1</v>
      </c>
    </row>
    <row r="37" spans="1:14">
      <c r="A37" s="8">
        <v>45260</v>
      </c>
      <c r="B37" s="6">
        <v>8.880000000000001</v>
      </c>
      <c r="C37" s="6">
        <v>-0.11</v>
      </c>
      <c r="D37" s="6">
        <v>1.66</v>
      </c>
      <c r="E37" s="6">
        <v>0.44</v>
      </c>
      <c r="H37" s="8">
        <v>44561</v>
      </c>
      <c r="I37" s="6">
        <v>1.465</v>
      </c>
      <c r="J37" s="6">
        <v>0.785</v>
      </c>
      <c r="K37" s="6">
        <v>21.35454545454546</v>
      </c>
      <c r="L37" s="6">
        <v>0.08</v>
      </c>
      <c r="M37" s="6">
        <v>280.845</v>
      </c>
      <c r="N37" s="6">
        <v>3.9</v>
      </c>
    </row>
    <row r="38" spans="1:14">
      <c r="A38" s="8">
        <v>45291</v>
      </c>
      <c r="B38" s="6">
        <v>4.85</v>
      </c>
      <c r="C38" s="6">
        <v>6.28</v>
      </c>
      <c r="D38" s="6">
        <v>4.87</v>
      </c>
      <c r="E38" s="6">
        <v>0.43</v>
      </c>
      <c r="H38" s="8">
        <v>44592</v>
      </c>
      <c r="I38" s="6">
        <v>1.764</v>
      </c>
      <c r="J38" s="6">
        <v>0.7835</v>
      </c>
      <c r="K38" s="6">
        <v>23.181</v>
      </c>
      <c r="L38" s="6">
        <v>0.08</v>
      </c>
      <c r="M38" s="6">
        <v>282.543</v>
      </c>
      <c r="N38" s="6">
        <v>4</v>
      </c>
    </row>
    <row r="39" spans="1:14">
      <c r="A39" s="8">
        <v>45322</v>
      </c>
      <c r="B39" s="6">
        <v>0.73</v>
      </c>
      <c r="C39" s="6">
        <v>-5.04</v>
      </c>
      <c r="D39" s="6">
        <v>-2.37</v>
      </c>
      <c r="E39" s="6">
        <v>0.47</v>
      </c>
      <c r="H39" s="8">
        <v>44620</v>
      </c>
      <c r="I39" s="6">
        <v>1.93421052631579</v>
      </c>
      <c r="J39" s="6">
        <v>0.4989473684210526</v>
      </c>
      <c r="K39" s="6">
        <v>25.74842105263158</v>
      </c>
      <c r="L39" s="6">
        <v>0.08</v>
      </c>
      <c r="M39" s="6">
        <v>284.5</v>
      </c>
      <c r="N39" s="6">
        <v>3.9</v>
      </c>
    </row>
    <row r="40" spans="1:14">
      <c r="A40" s="8">
        <v>45351</v>
      </c>
      <c r="B40" s="6">
        <v>5.07</v>
      </c>
      <c r="C40" s="6">
        <v>-0.26</v>
      </c>
      <c r="D40" s="6">
        <v>-3.43</v>
      </c>
      <c r="E40" s="6">
        <v>0.42</v>
      </c>
      <c r="H40" s="8">
        <v>44651</v>
      </c>
      <c r="I40" s="6">
        <v>2.127826086956522</v>
      </c>
      <c r="J40" s="6">
        <v>0.2182608695652173</v>
      </c>
      <c r="K40" s="6">
        <v>26.96869565217391</v>
      </c>
      <c r="L40" s="6">
        <v>0.2</v>
      </c>
      <c r="M40" s="6">
        <v>287.674</v>
      </c>
      <c r="N40" s="6">
        <v>3.7</v>
      </c>
    </row>
    <row r="41" spans="1:14">
      <c r="A41" s="8">
        <v>45382</v>
      </c>
      <c r="B41" s="6">
        <v>2.84</v>
      </c>
      <c r="C41" s="6">
        <v>-2.5</v>
      </c>
      <c r="D41" s="6">
        <v>4.16</v>
      </c>
      <c r="E41" s="6">
        <v>0.43</v>
      </c>
      <c r="H41" s="8">
        <v>44681</v>
      </c>
      <c r="I41" s="6">
        <v>2.7475</v>
      </c>
      <c r="J41" s="6">
        <v>0.2095</v>
      </c>
      <c r="K41" s="6">
        <v>24.3735</v>
      </c>
      <c r="L41" s="6">
        <v>0.33</v>
      </c>
      <c r="M41" s="6">
        <v>288.561</v>
      </c>
      <c r="N41" s="6">
        <v>3.7</v>
      </c>
    </row>
    <row r="42" spans="1:14">
      <c r="A42" s="8">
        <v>45412</v>
      </c>
      <c r="B42" s="6">
        <v>-4.65</v>
      </c>
      <c r="C42" s="6">
        <v>-2.38</v>
      </c>
      <c r="D42" s="6">
        <v>-0.45</v>
      </c>
      <c r="E42" s="6">
        <v>0.47</v>
      </c>
      <c r="H42" s="8">
        <v>44712</v>
      </c>
      <c r="I42" s="6">
        <v>2.898095238095238</v>
      </c>
      <c r="J42" s="6">
        <v>0.2814285714285714</v>
      </c>
      <c r="K42" s="6">
        <v>29.31363636363636</v>
      </c>
      <c r="L42" s="6">
        <v>0.77</v>
      </c>
      <c r="M42" s="6">
        <v>291.298</v>
      </c>
      <c r="N42" s="6">
        <v>3.6</v>
      </c>
    </row>
    <row r="43" spans="1:14">
      <c r="A43" s="8">
        <v>45443</v>
      </c>
      <c r="B43" s="6">
        <v>4.33</v>
      </c>
      <c r="C43" s="6">
        <v>0.53</v>
      </c>
      <c r="D43" s="6">
        <v>-1.33</v>
      </c>
      <c r="E43" s="6">
        <v>0.44</v>
      </c>
      <c r="H43" s="8">
        <v>44742</v>
      </c>
      <c r="I43" s="6">
        <v>3.143333333333334</v>
      </c>
      <c r="J43" s="6">
        <v>0.1452380952380952</v>
      </c>
      <c r="K43" s="6">
        <v>28.23318181818182</v>
      </c>
      <c r="L43" s="6">
        <v>1.21</v>
      </c>
      <c r="M43" s="6">
        <v>294.957</v>
      </c>
      <c r="N43" s="6">
        <v>3.6</v>
      </c>
    </row>
    <row r="44" spans="1:14">
      <c r="A44" s="8">
        <v>45473</v>
      </c>
      <c r="B44" s="6">
        <v>2.8</v>
      </c>
      <c r="C44" s="6">
        <v>-3</v>
      </c>
      <c r="D44" s="6">
        <v>-3.36</v>
      </c>
      <c r="E44" s="6">
        <v>0.41</v>
      </c>
      <c r="H44" s="8">
        <v>44773</v>
      </c>
      <c r="I44" s="6">
        <v>2.896</v>
      </c>
      <c r="J44" s="6">
        <v>-0.1399999999999999</v>
      </c>
      <c r="K44" s="6">
        <v>24.99523809523809</v>
      </c>
      <c r="L44" s="6">
        <v>1.68</v>
      </c>
      <c r="M44" s="6">
        <v>294.913</v>
      </c>
      <c r="N44" s="6">
        <v>3.5</v>
      </c>
    </row>
    <row r="45" spans="1:14">
      <c r="A45" s="8">
        <v>45504</v>
      </c>
      <c r="B45" s="6">
        <v>1.22</v>
      </c>
      <c r="C45" s="6">
        <v>6.81</v>
      </c>
      <c r="D45" s="6">
        <v>5.57</v>
      </c>
      <c r="E45" s="6">
        <v>0.45</v>
      </c>
      <c r="H45" s="8">
        <v>44804</v>
      </c>
      <c r="I45" s="6">
        <v>2.897826086956522</v>
      </c>
      <c r="J45" s="6">
        <v>-0.3521739130434782</v>
      </c>
      <c r="K45" s="6">
        <v>22.16956521739131</v>
      </c>
      <c r="L45" s="6">
        <v>2.33</v>
      </c>
      <c r="M45" s="6">
        <v>295.097</v>
      </c>
      <c r="N45" s="6">
        <v>3.6</v>
      </c>
    </row>
    <row r="46" spans="1:14">
      <c r="A46" s="8">
        <v>45535</v>
      </c>
      <c r="B46" s="6">
        <v>1.6</v>
      </c>
      <c r="C46" s="6">
        <v>-3.49</v>
      </c>
      <c r="D46" s="6">
        <v>-1.13</v>
      </c>
      <c r="E46" s="6">
        <v>0.48</v>
      </c>
      <c r="H46" s="8">
        <v>44834</v>
      </c>
      <c r="I46" s="6">
        <v>3.519047619047619</v>
      </c>
      <c r="J46" s="6">
        <v>-0.3376190476190476</v>
      </c>
      <c r="K46" s="6">
        <v>27.34181818181818</v>
      </c>
      <c r="L46" s="6">
        <v>2.56</v>
      </c>
      <c r="M46" s="6">
        <v>296.349</v>
      </c>
      <c r="N46" s="6">
        <v>3.5</v>
      </c>
    </row>
    <row r="47" spans="1:14">
      <c r="A47" s="8">
        <v>45565</v>
      </c>
      <c r="B47" s="6">
        <v>1.72</v>
      </c>
      <c r="C47" s="6">
        <v>-0.13</v>
      </c>
      <c r="D47" s="6">
        <v>-2.73</v>
      </c>
      <c r="E47" s="6">
        <v>0.4</v>
      </c>
      <c r="H47" s="8">
        <v>44865</v>
      </c>
      <c r="I47" s="6">
        <v>3.9835</v>
      </c>
      <c r="J47" s="6">
        <v>-0.3915</v>
      </c>
      <c r="K47" s="6">
        <v>30.00571428571429</v>
      </c>
      <c r="L47" s="6">
        <v>3.08</v>
      </c>
      <c r="M47" s="6">
        <v>298.007</v>
      </c>
      <c r="N47" s="6">
        <v>3.6</v>
      </c>
    </row>
    <row r="48" spans="1:14">
      <c r="A48" s="8">
        <v>45596</v>
      </c>
      <c r="B48" s="6">
        <v>-1</v>
      </c>
      <c r="C48" s="6">
        <v>-0.95</v>
      </c>
      <c r="D48" s="6">
        <v>0.91</v>
      </c>
      <c r="E48" s="6">
        <v>0.39</v>
      </c>
      <c r="H48" s="8">
        <v>44895</v>
      </c>
      <c r="I48" s="6">
        <v>3.891</v>
      </c>
      <c r="J48" s="6">
        <v>-0.6125</v>
      </c>
      <c r="K48" s="6">
        <v>23.29909090909091</v>
      </c>
      <c r="L48" s="6">
        <v>3.78</v>
      </c>
      <c r="M48" s="6">
        <v>298.786</v>
      </c>
      <c r="N48" s="6">
        <v>3.6</v>
      </c>
    </row>
    <row r="49" spans="1:14">
      <c r="A49" s="8">
        <v>45626</v>
      </c>
      <c r="B49" s="6">
        <v>6.49</v>
      </c>
      <c r="C49" s="6">
        <v>4.49</v>
      </c>
      <c r="D49" s="6">
        <v>0.38</v>
      </c>
      <c r="E49" s="6">
        <v>0.4</v>
      </c>
      <c r="H49" s="8">
        <v>44926</v>
      </c>
      <c r="I49" s="6">
        <v>3.616190476190476</v>
      </c>
      <c r="J49" s="6">
        <v>-0.6723809523809524</v>
      </c>
      <c r="K49" s="6">
        <v>21.78428571428572</v>
      </c>
      <c r="L49" s="6">
        <v>4.1</v>
      </c>
      <c r="M49" s="6">
        <v>298.832</v>
      </c>
      <c r="N49" s="6">
        <v>3.5</v>
      </c>
    </row>
    <row r="50" spans="1:14">
      <c r="A50" s="8">
        <v>45657</v>
      </c>
      <c r="B50" s="6">
        <v>-3.17</v>
      </c>
      <c r="C50" s="6">
        <v>-2.7</v>
      </c>
      <c r="D50" s="6">
        <v>-2.97</v>
      </c>
      <c r="E50" s="6">
        <v>0.37</v>
      </c>
      <c r="H50" s="8">
        <v>44957</v>
      </c>
      <c r="I50" s="6">
        <v>3.5315</v>
      </c>
      <c r="J50" s="6">
        <v>-0.6759999999999999</v>
      </c>
      <c r="K50" s="6">
        <v>20.16904761904762</v>
      </c>
      <c r="L50" s="6">
        <v>4.33</v>
      </c>
      <c r="M50" s="6">
        <v>300.42</v>
      </c>
      <c r="N50" s="6">
        <v>3.5</v>
      </c>
    </row>
    <row r="51" spans="1:14">
      <c r="A51" s="8">
        <v>45688</v>
      </c>
      <c r="B51" s="6">
        <v>2.8</v>
      </c>
      <c r="C51" s="6">
        <v>-2</v>
      </c>
      <c r="D51" s="6">
        <v>1.76</v>
      </c>
      <c r="E51" s="6">
        <v>0.37</v>
      </c>
      <c r="H51" s="8">
        <v>44985</v>
      </c>
      <c r="I51" s="6">
        <v>3.746842105263158</v>
      </c>
      <c r="J51" s="6">
        <v>-0.7868421052631579</v>
      </c>
      <c r="K51" s="6">
        <v>20.1205</v>
      </c>
      <c r="L51" s="6">
        <v>4.57</v>
      </c>
      <c r="M51" s="6">
        <v>301.45</v>
      </c>
      <c r="N51" s="6">
        <v>3.6</v>
      </c>
    </row>
    <row r="52" spans="1:14">
      <c r="A52" s="8">
        <v>45716</v>
      </c>
      <c r="B52" s="6">
        <v>-2.44</v>
      </c>
      <c r="C52" s="6">
        <v>-5.77</v>
      </c>
      <c r="D52" s="6">
        <v>4.84</v>
      </c>
      <c r="E52" s="6">
        <v>0.33</v>
      </c>
      <c r="H52" s="8">
        <v>45016</v>
      </c>
      <c r="I52" s="6">
        <v>3.66304347826087</v>
      </c>
      <c r="J52" s="6">
        <v>-0.6395652173913043</v>
      </c>
      <c r="K52" s="6">
        <v>21.64434782608696</v>
      </c>
      <c r="L52" s="6">
        <v>4.65</v>
      </c>
      <c r="M52" s="6">
        <v>301.821</v>
      </c>
      <c r="N52" s="6">
        <v>3.5</v>
      </c>
    </row>
    <row r="53" spans="1:14">
      <c r="A53" s="8">
        <v>45747</v>
      </c>
      <c r="B53" s="6">
        <v>-6.39</v>
      </c>
      <c r="C53" s="6">
        <v>-2.72</v>
      </c>
      <c r="D53" s="6">
        <v>2.87</v>
      </c>
      <c r="E53" s="6">
        <v>0.34</v>
      </c>
      <c r="H53" s="8">
        <v>45046</v>
      </c>
      <c r="I53" s="6">
        <v>3.46</v>
      </c>
      <c r="J53" s="6">
        <v>-0.5559999999999999</v>
      </c>
      <c r="K53" s="6">
        <v>17.81789473684211</v>
      </c>
      <c r="L53" s="6">
        <v>4.83</v>
      </c>
      <c r="M53" s="6">
        <v>302.845</v>
      </c>
      <c r="N53" s="6">
        <v>3.4</v>
      </c>
    </row>
    <row r="54" spans="1:14">
      <c r="A54" s="8">
        <v>45777</v>
      </c>
      <c r="B54" s="6">
        <v>-0.84</v>
      </c>
      <c r="C54" s="6">
        <v>-0.57</v>
      </c>
      <c r="D54" s="6">
        <v>-3.29</v>
      </c>
      <c r="E54" s="6">
        <v>0.35</v>
      </c>
      <c r="H54" s="8">
        <v>45077</v>
      </c>
      <c r="I54" s="6">
        <v>3.573636363636364</v>
      </c>
      <c r="J54" s="6">
        <v>-0.5581818181818181</v>
      </c>
      <c r="K54" s="6">
        <v>17.63608695652174</v>
      </c>
      <c r="L54" s="6">
        <v>5.06</v>
      </c>
      <c r="M54" s="6">
        <v>303.334</v>
      </c>
      <c r="N54" s="6">
        <v>3.6</v>
      </c>
    </row>
    <row r="55" spans="1:14">
      <c r="A55" s="8">
        <v>45808</v>
      </c>
      <c r="B55" s="6">
        <v>6.06</v>
      </c>
      <c r="C55" s="6">
        <v>0.61</v>
      </c>
      <c r="D55" s="6">
        <v>-2.81</v>
      </c>
      <c r="E55" s="6">
        <v>0.38</v>
      </c>
      <c r="H55" s="8">
        <v>45107</v>
      </c>
      <c r="I55" s="6">
        <v>3.748095238095238</v>
      </c>
      <c r="J55" s="6">
        <v>-0.8914285714285713</v>
      </c>
      <c r="K55" s="6">
        <v>14.00318181818182</v>
      </c>
      <c r="L55" s="6">
        <v>5.08</v>
      </c>
      <c r="M55" s="6">
        <v>304.014</v>
      </c>
      <c r="N55" s="6">
        <v>3.6</v>
      </c>
    </row>
    <row r="56" spans="1:14">
      <c r="A56" s="8">
        <v>45838</v>
      </c>
      <c r="B56" s="6">
        <v>4.86</v>
      </c>
      <c r="C56" s="6">
        <v>0.71</v>
      </c>
      <c r="D56" s="6">
        <v>-1.43</v>
      </c>
      <c r="E56" s="6">
        <v>0.34</v>
      </c>
      <c r="H56" s="8">
        <v>45138</v>
      </c>
      <c r="I56" s="6">
        <v>3.8995</v>
      </c>
      <c r="J56" s="6">
        <v>-0.929</v>
      </c>
      <c r="K56" s="6">
        <v>13.93238095238095</v>
      </c>
      <c r="L56" s="6">
        <v>5.12</v>
      </c>
      <c r="M56" s="6">
        <v>304.609</v>
      </c>
      <c r="N56" s="6">
        <v>3.5</v>
      </c>
    </row>
    <row r="57" spans="1:14">
      <c r="A57" s="8">
        <v>45869</v>
      </c>
      <c r="B57" s="6">
        <v>1.98</v>
      </c>
      <c r="C57" s="6">
        <v>0.3</v>
      </c>
      <c r="D57" s="6">
        <v>-1.34</v>
      </c>
      <c r="E57" s="6">
        <v>0.34</v>
      </c>
      <c r="H57" s="8">
        <v>45169</v>
      </c>
      <c r="I57" s="6">
        <v>4.167826086956522</v>
      </c>
      <c r="J57" s="6">
        <v>-0.7339130434782608</v>
      </c>
      <c r="K57" s="6">
        <v>15.85391304347826</v>
      </c>
      <c r="L57" s="6">
        <v>5.33</v>
      </c>
      <c r="M57" s="6">
        <v>306.082</v>
      </c>
      <c r="N57" s="6">
        <v>3.7</v>
      </c>
    </row>
    <row r="58" spans="1:14">
      <c r="A58" s="8">
        <v>45900</v>
      </c>
      <c r="B58" s="6">
        <v>1.84</v>
      </c>
      <c r="C58" s="6">
        <v>3.8</v>
      </c>
      <c r="D58" s="6">
        <v>4.37</v>
      </c>
      <c r="E58" s="6">
        <v>0.38</v>
      </c>
      <c r="H58" s="8">
        <v>45199</v>
      </c>
      <c r="I58" s="6">
        <v>4.379</v>
      </c>
      <c r="J58" s="6">
        <v>-0.643</v>
      </c>
      <c r="K58" s="6">
        <v>15.17333333333333</v>
      </c>
      <c r="L58" s="6">
        <v>5.33</v>
      </c>
      <c r="M58" s="6">
        <v>307.276</v>
      </c>
      <c r="N58" s="6">
        <v>3.7</v>
      </c>
    </row>
    <row r="59" spans="1:14">
      <c r="A59" s="8">
        <v>45930</v>
      </c>
      <c r="B59" s="6">
        <v>3.39</v>
      </c>
      <c r="C59" s="6">
        <v>-1.83</v>
      </c>
      <c r="D59" s="6">
        <v>-1.05</v>
      </c>
      <c r="E59" s="6">
        <v>0.33</v>
      </c>
      <c r="H59" s="8">
        <v>45230</v>
      </c>
      <c r="I59" s="6">
        <v>4.798095238095239</v>
      </c>
      <c r="J59" s="6">
        <v>-0.2695238095238095</v>
      </c>
      <c r="K59" s="6">
        <v>18.88772727272727</v>
      </c>
      <c r="L59" s="6">
        <v>5.33</v>
      </c>
      <c r="M59" s="6">
        <v>307.696</v>
      </c>
      <c r="N59" s="6">
        <v>3.9</v>
      </c>
    </row>
    <row r="60" spans="1:14">
      <c r="A60" s="8">
        <v>45961</v>
      </c>
      <c r="B60" s="6">
        <v>1.96</v>
      </c>
      <c r="C60" s="6">
        <v>-0.57</v>
      </c>
      <c r="D60" s="6">
        <v>-3.18</v>
      </c>
      <c r="E60" s="6">
        <v>0.37</v>
      </c>
      <c r="H60" s="8">
        <v>45260</v>
      </c>
      <c r="I60" s="6">
        <v>4.502857142857143</v>
      </c>
      <c r="J60" s="6">
        <v>-0.3795238095238095</v>
      </c>
      <c r="K60" s="6">
        <v>14.01909090909091</v>
      </c>
      <c r="L60" s="6">
        <v>5.33</v>
      </c>
      <c r="M60" s="6">
        <v>308.148</v>
      </c>
      <c r="N60" s="6">
        <v>3.7</v>
      </c>
    </row>
    <row r="61" spans="1:14">
      <c r="A61" s="8">
        <v>45991</v>
      </c>
      <c r="B61" s="6">
        <v>-0.13</v>
      </c>
      <c r="C61" s="6">
        <v>0.4</v>
      </c>
      <c r="D61" s="6">
        <v>3.76</v>
      </c>
      <c r="E61" s="6">
        <v>0.3</v>
      </c>
      <c r="H61" s="8">
        <v>45291</v>
      </c>
      <c r="I61" s="6">
        <v>4.02</v>
      </c>
      <c r="J61" s="6">
        <v>-0.437</v>
      </c>
      <c r="K61" s="6">
        <v>12.7185</v>
      </c>
      <c r="L61" s="6">
        <v>5.33</v>
      </c>
      <c r="M61" s="6">
        <v>308.741</v>
      </c>
      <c r="N61" s="6">
        <v>3.8</v>
      </c>
    </row>
    <row r="62" spans="1:14">
      <c r="A62" s="8">
        <v>46022</v>
      </c>
      <c r="B62" s="6">
        <v>-0.36</v>
      </c>
      <c r="C62" s="6">
        <v>-1.04</v>
      </c>
      <c r="D62" s="6">
        <v>2.4</v>
      </c>
      <c r="E62" s="6">
        <v>0.34</v>
      </c>
      <c r="H62" s="8">
        <v>45322</v>
      </c>
      <c r="I62" s="6">
        <v>4.058095238095238</v>
      </c>
      <c r="J62" s="6">
        <v>-0.2647619047619048</v>
      </c>
      <c r="K62" s="6">
        <v>13.38863636363636</v>
      </c>
      <c r="L62" s="6">
        <v>5.33</v>
      </c>
      <c r="M62" s="6">
        <v>309.698</v>
      </c>
      <c r="N62" s="6">
        <v>3.7</v>
      </c>
    </row>
    <row r="63" spans="1:14">
      <c r="H63" s="8">
        <v>45351</v>
      </c>
      <c r="I63" s="6">
        <v>4.2075</v>
      </c>
      <c r="J63" s="6">
        <v>-0.3365</v>
      </c>
      <c r="K63" s="6">
        <v>13.98047619047619</v>
      </c>
      <c r="L63" s="6">
        <v>5.33</v>
      </c>
      <c r="M63" s="6">
        <v>310.967</v>
      </c>
      <c r="N63" s="6">
        <v>3.9</v>
      </c>
    </row>
    <row r="64" spans="1:14">
      <c r="A64" s="2" t="s">
        <v>17</v>
      </c>
      <c r="H64" s="8">
        <v>45382</v>
      </c>
      <c r="I64" s="6">
        <v>4.2085</v>
      </c>
      <c r="J64" s="6">
        <v>-0.3795</v>
      </c>
      <c r="K64" s="6">
        <v>13.7875</v>
      </c>
      <c r="L64" s="6">
        <v>5.33</v>
      </c>
      <c r="M64" s="6">
        <v>312.345</v>
      </c>
      <c r="N64" s="6">
        <v>3.9</v>
      </c>
    </row>
    <row r="65" spans="8:14">
      <c r="H65" s="8">
        <v>45412</v>
      </c>
      <c r="I65" s="6">
        <v>4.539090909090909</v>
      </c>
      <c r="J65" s="6">
        <v>-0.334090909090909</v>
      </c>
      <c r="K65" s="6">
        <v>16.13772727272728</v>
      </c>
      <c r="L65" s="6">
        <v>5.33</v>
      </c>
      <c r="M65" s="6">
        <v>313.023</v>
      </c>
      <c r="N65" s="6">
        <v>3.9</v>
      </c>
    </row>
    <row r="66" spans="8:14">
      <c r="H66" s="8">
        <v>45443</v>
      </c>
      <c r="I66" s="6">
        <v>4.482272727272727</v>
      </c>
      <c r="J66" s="6">
        <v>-0.3740909090909091</v>
      </c>
      <c r="K66" s="6">
        <v>13.05869565217391</v>
      </c>
      <c r="L66" s="6">
        <v>5.33</v>
      </c>
      <c r="M66" s="6">
        <v>313.175</v>
      </c>
      <c r="N66" s="6">
        <v>3.9</v>
      </c>
    </row>
    <row r="67" spans="8:14">
      <c r="H67" s="8">
        <v>45473</v>
      </c>
      <c r="I67" s="6">
        <v>4.305263157894736</v>
      </c>
      <c r="J67" s="6">
        <v>-0.431578947368421</v>
      </c>
      <c r="K67" s="6">
        <v>12.667</v>
      </c>
      <c r="L67" s="6">
        <v>5.33</v>
      </c>
      <c r="M67" s="6">
        <v>313.044</v>
      </c>
      <c r="N67" s="6">
        <v>4.1</v>
      </c>
    </row>
    <row r="68" spans="8:14">
      <c r="H68" s="8">
        <v>45504</v>
      </c>
      <c r="I68" s="6">
        <v>4.248636363636364</v>
      </c>
      <c r="J68" s="6">
        <v>-0.2472727272727272</v>
      </c>
      <c r="K68" s="6">
        <v>14.37391304347826</v>
      </c>
      <c r="L68" s="6">
        <v>5.33</v>
      </c>
      <c r="M68" s="6">
        <v>313.569</v>
      </c>
      <c r="N68" s="6">
        <v>4.2</v>
      </c>
    </row>
    <row r="69" spans="8:14">
      <c r="H69" s="8">
        <v>45535</v>
      </c>
      <c r="I69" s="6">
        <v>3.87090909090909</v>
      </c>
      <c r="J69" s="6">
        <v>-0.0945454545454545</v>
      </c>
      <c r="K69" s="6">
        <v>19.31227272727273</v>
      </c>
      <c r="L69" s="6">
        <v>5.33</v>
      </c>
      <c r="M69" s="6">
        <v>314.062</v>
      </c>
      <c r="N69" s="6">
        <v>4.2</v>
      </c>
    </row>
    <row r="70" spans="8:14">
      <c r="H70" s="8">
        <v>45565</v>
      </c>
      <c r="I70" s="6">
        <v>3.7235</v>
      </c>
      <c r="J70" s="6">
        <v>0.101</v>
      </c>
      <c r="K70" s="6">
        <v>17.66333333333333</v>
      </c>
      <c r="L70" s="6">
        <v>5.13</v>
      </c>
      <c r="M70" s="6">
        <v>314.732</v>
      </c>
      <c r="N70" s="6">
        <v>4.1</v>
      </c>
    </row>
    <row r="71" spans="8:14">
      <c r="H71" s="8">
        <v>45596</v>
      </c>
      <c r="I71" s="6">
        <v>4.095454545454545</v>
      </c>
      <c r="J71" s="6">
        <v>0.1231818181818181</v>
      </c>
      <c r="K71" s="6">
        <v>19.96086956521739</v>
      </c>
      <c r="L71" s="6">
        <v>4.83</v>
      </c>
      <c r="M71" s="6">
        <v>315.631</v>
      </c>
      <c r="N71" s="6">
        <v>4.1</v>
      </c>
    </row>
    <row r="72" spans="8:14">
      <c r="H72" s="8">
        <v>45626</v>
      </c>
      <c r="I72" s="6">
        <v>4.35578947368421</v>
      </c>
      <c r="J72" s="6">
        <v>0.0984210526315789</v>
      </c>
      <c r="K72" s="6">
        <v>16.0152380952381</v>
      </c>
      <c r="L72" s="6">
        <v>4.64</v>
      </c>
      <c r="M72" s="6">
        <v>316.528</v>
      </c>
      <c r="N72" s="6">
        <v>4.2</v>
      </c>
    </row>
    <row r="73" spans="8:14">
      <c r="H73" s="8">
        <v>45657</v>
      </c>
      <c r="I73" s="6">
        <v>4.391428571428571</v>
      </c>
      <c r="J73" s="6">
        <v>0.1657142857142857</v>
      </c>
      <c r="K73" s="6">
        <v>15.86619047619048</v>
      </c>
      <c r="L73" s="6">
        <v>4.48</v>
      </c>
      <c r="M73" s="6">
        <v>317.604</v>
      </c>
      <c r="N73" s="6">
        <v>4.1</v>
      </c>
    </row>
    <row r="75" spans="8:14">
      <c r="H75" s="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25</v>
      </c>
    </row>
    <row r="2" spans="1:12">
      <c r="A2" s="8">
        <v>44227</v>
      </c>
      <c r="B2" s="5">
        <f>S4_Prices!B3/S4_Prices!B2-1</f>
        <v>0</v>
      </c>
      <c r="C2" s="5">
        <f>S4_Prices!C3/S4_Prices!C2-1</f>
        <v>0</v>
      </c>
      <c r="D2" s="5">
        <f>S4_Prices!D3/S4_Prices!D2-1</f>
        <v>0</v>
      </c>
      <c r="E2" s="5">
        <f>S4_Prices!E3/S4_Prices!E2-1</f>
        <v>0</v>
      </c>
      <c r="F2" s="5">
        <f>S4_Prices!F3/S4_Prices!F2-1</f>
        <v>0</v>
      </c>
      <c r="G2" s="5">
        <f>S4_Prices!G3/S4_Prices!G2-1</f>
        <v>0</v>
      </c>
      <c r="H2" s="5">
        <f>S4_Prices!H3/S4_Prices!H2-1</f>
        <v>0</v>
      </c>
      <c r="I2" s="5">
        <f>S4_Prices!I3/S4_Prices!I2-1</f>
        <v>0</v>
      </c>
      <c r="J2" s="5">
        <f>S4_Prices!J3/S4_Prices!J2-1</f>
        <v>0</v>
      </c>
      <c r="K2" s="5">
        <f>S4_Prices!K3/S4_Prices!K2-1</f>
        <v>0</v>
      </c>
      <c r="L2" s="10">
        <f>S5_Macro!E3/100</f>
        <v>0</v>
      </c>
    </row>
    <row r="3" spans="1:12">
      <c r="A3" s="8">
        <v>44255</v>
      </c>
      <c r="B3" s="5">
        <f>S4_Prices!B4/S4_Prices!B3-1</f>
        <v>0</v>
      </c>
      <c r="C3" s="5">
        <f>S4_Prices!C4/S4_Prices!C3-1</f>
        <v>0</v>
      </c>
      <c r="D3" s="5">
        <f>S4_Prices!D4/S4_Prices!D3-1</f>
        <v>0</v>
      </c>
      <c r="E3" s="5">
        <f>S4_Prices!E4/S4_Prices!E3-1</f>
        <v>0</v>
      </c>
      <c r="F3" s="5">
        <f>S4_Prices!F4/S4_Prices!F3-1</f>
        <v>0</v>
      </c>
      <c r="G3" s="5">
        <f>S4_Prices!G4/S4_Prices!G3-1</f>
        <v>0</v>
      </c>
      <c r="H3" s="5">
        <f>S4_Prices!H4/S4_Prices!H3-1</f>
        <v>0</v>
      </c>
      <c r="I3" s="5">
        <f>S4_Prices!I4/S4_Prices!I3-1</f>
        <v>0</v>
      </c>
      <c r="J3" s="5">
        <f>S4_Prices!J4/S4_Prices!J3-1</f>
        <v>0</v>
      </c>
      <c r="K3" s="5">
        <f>S4_Prices!K4/S4_Prices!K3-1</f>
        <v>0</v>
      </c>
      <c r="L3" s="10">
        <f>S5_Macro!E4/100</f>
        <v>0</v>
      </c>
    </row>
    <row r="4" spans="1:12">
      <c r="A4" s="8">
        <v>44286</v>
      </c>
      <c r="B4" s="5">
        <f>S4_Prices!B5/S4_Prices!B4-1</f>
        <v>0</v>
      </c>
      <c r="C4" s="5">
        <f>S4_Prices!C5/S4_Prices!C4-1</f>
        <v>0</v>
      </c>
      <c r="D4" s="5">
        <f>S4_Prices!D5/S4_Prices!D4-1</f>
        <v>0</v>
      </c>
      <c r="E4" s="5">
        <f>S4_Prices!E5/S4_Prices!E4-1</f>
        <v>0</v>
      </c>
      <c r="F4" s="5">
        <f>S4_Prices!F5/S4_Prices!F4-1</f>
        <v>0</v>
      </c>
      <c r="G4" s="5">
        <f>S4_Prices!G5/S4_Prices!G4-1</f>
        <v>0</v>
      </c>
      <c r="H4" s="5">
        <f>S4_Prices!H5/S4_Prices!H4-1</f>
        <v>0</v>
      </c>
      <c r="I4" s="5">
        <f>S4_Prices!I5/S4_Prices!I4-1</f>
        <v>0</v>
      </c>
      <c r="J4" s="5">
        <f>S4_Prices!J5/S4_Prices!J4-1</f>
        <v>0</v>
      </c>
      <c r="K4" s="5">
        <f>S4_Prices!K5/S4_Prices!K4-1</f>
        <v>0</v>
      </c>
      <c r="L4" s="10">
        <f>S5_Macro!E5/100</f>
        <v>0</v>
      </c>
    </row>
    <row r="5" spans="1:12">
      <c r="A5" s="8">
        <v>44316</v>
      </c>
      <c r="B5" s="5">
        <f>S4_Prices!B6/S4_Prices!B5-1</f>
        <v>0</v>
      </c>
      <c r="C5" s="5">
        <f>S4_Prices!C6/S4_Prices!C5-1</f>
        <v>0</v>
      </c>
      <c r="D5" s="5">
        <f>S4_Prices!D6/S4_Prices!D5-1</f>
        <v>0</v>
      </c>
      <c r="E5" s="5">
        <f>S4_Prices!E6/S4_Prices!E5-1</f>
        <v>0</v>
      </c>
      <c r="F5" s="5">
        <f>S4_Prices!F6/S4_Prices!F5-1</f>
        <v>0</v>
      </c>
      <c r="G5" s="5">
        <f>S4_Prices!G6/S4_Prices!G5-1</f>
        <v>0</v>
      </c>
      <c r="H5" s="5">
        <f>S4_Prices!H6/S4_Prices!H5-1</f>
        <v>0</v>
      </c>
      <c r="I5" s="5">
        <f>S4_Prices!I6/S4_Prices!I5-1</f>
        <v>0</v>
      </c>
      <c r="J5" s="5">
        <f>S4_Prices!J6/S4_Prices!J5-1</f>
        <v>0</v>
      </c>
      <c r="K5" s="5">
        <f>S4_Prices!K6/S4_Prices!K5-1</f>
        <v>0</v>
      </c>
      <c r="L5" s="10">
        <f>S5_Macro!E6/100</f>
        <v>0</v>
      </c>
    </row>
    <row r="6" spans="1:12">
      <c r="A6" s="8">
        <v>44347</v>
      </c>
      <c r="B6" s="5">
        <f>S4_Prices!B7/S4_Prices!B6-1</f>
        <v>0</v>
      </c>
      <c r="C6" s="5">
        <f>S4_Prices!C7/S4_Prices!C6-1</f>
        <v>0</v>
      </c>
      <c r="D6" s="5">
        <f>S4_Prices!D7/S4_Prices!D6-1</f>
        <v>0</v>
      </c>
      <c r="E6" s="5">
        <f>S4_Prices!E7/S4_Prices!E6-1</f>
        <v>0</v>
      </c>
      <c r="F6" s="5">
        <f>S4_Prices!F7/S4_Prices!F6-1</f>
        <v>0</v>
      </c>
      <c r="G6" s="5">
        <f>S4_Prices!G7/S4_Prices!G6-1</f>
        <v>0</v>
      </c>
      <c r="H6" s="5">
        <f>S4_Prices!H7/S4_Prices!H6-1</f>
        <v>0</v>
      </c>
      <c r="I6" s="5">
        <f>S4_Prices!I7/S4_Prices!I6-1</f>
        <v>0</v>
      </c>
      <c r="J6" s="5">
        <f>S4_Prices!J7/S4_Prices!J6-1</f>
        <v>0</v>
      </c>
      <c r="K6" s="5">
        <f>S4_Prices!K7/S4_Prices!K6-1</f>
        <v>0</v>
      </c>
      <c r="L6" s="10">
        <f>S5_Macro!E7/100</f>
        <v>0</v>
      </c>
    </row>
    <row r="7" spans="1:12">
      <c r="A7" s="8">
        <v>44377</v>
      </c>
      <c r="B7" s="5">
        <f>S4_Prices!B8/S4_Prices!B7-1</f>
        <v>0</v>
      </c>
      <c r="C7" s="5">
        <f>S4_Prices!C8/S4_Prices!C7-1</f>
        <v>0</v>
      </c>
      <c r="D7" s="5">
        <f>S4_Prices!D8/S4_Prices!D7-1</f>
        <v>0</v>
      </c>
      <c r="E7" s="5">
        <f>S4_Prices!E8/S4_Prices!E7-1</f>
        <v>0</v>
      </c>
      <c r="F7" s="5">
        <f>S4_Prices!F8/S4_Prices!F7-1</f>
        <v>0</v>
      </c>
      <c r="G7" s="5">
        <f>S4_Prices!G8/S4_Prices!G7-1</f>
        <v>0</v>
      </c>
      <c r="H7" s="5">
        <f>S4_Prices!H8/S4_Prices!H7-1</f>
        <v>0</v>
      </c>
      <c r="I7" s="5">
        <f>S4_Prices!I8/S4_Prices!I7-1</f>
        <v>0</v>
      </c>
      <c r="J7" s="5">
        <f>S4_Prices!J8/S4_Prices!J7-1</f>
        <v>0</v>
      </c>
      <c r="K7" s="5">
        <f>S4_Prices!K8/S4_Prices!K7-1</f>
        <v>0</v>
      </c>
      <c r="L7" s="10">
        <f>S5_Macro!E8/100</f>
        <v>0</v>
      </c>
    </row>
    <row r="8" spans="1:12">
      <c r="A8" s="8">
        <v>44408</v>
      </c>
      <c r="B8" s="5">
        <f>S4_Prices!B9/S4_Prices!B8-1</f>
        <v>0</v>
      </c>
      <c r="C8" s="5">
        <f>S4_Prices!C9/S4_Prices!C8-1</f>
        <v>0</v>
      </c>
      <c r="D8" s="5">
        <f>S4_Prices!D9/S4_Prices!D8-1</f>
        <v>0</v>
      </c>
      <c r="E8" s="5">
        <f>S4_Prices!E9/S4_Prices!E8-1</f>
        <v>0</v>
      </c>
      <c r="F8" s="5">
        <f>S4_Prices!F9/S4_Prices!F8-1</f>
        <v>0</v>
      </c>
      <c r="G8" s="5">
        <f>S4_Prices!G9/S4_Prices!G8-1</f>
        <v>0</v>
      </c>
      <c r="H8" s="5">
        <f>S4_Prices!H9/S4_Prices!H8-1</f>
        <v>0</v>
      </c>
      <c r="I8" s="5">
        <f>S4_Prices!I9/S4_Prices!I8-1</f>
        <v>0</v>
      </c>
      <c r="J8" s="5">
        <f>S4_Prices!J9/S4_Prices!J8-1</f>
        <v>0</v>
      </c>
      <c r="K8" s="5">
        <f>S4_Prices!K9/S4_Prices!K8-1</f>
        <v>0</v>
      </c>
      <c r="L8" s="10">
        <f>S5_Macro!E9/100</f>
        <v>0</v>
      </c>
    </row>
    <row r="9" spans="1:12">
      <c r="A9" s="8">
        <v>44439</v>
      </c>
      <c r="B9" s="5">
        <f>S4_Prices!B10/S4_Prices!B9-1</f>
        <v>0</v>
      </c>
      <c r="C9" s="5">
        <f>S4_Prices!C10/S4_Prices!C9-1</f>
        <v>0</v>
      </c>
      <c r="D9" s="5">
        <f>S4_Prices!D10/S4_Prices!D9-1</f>
        <v>0</v>
      </c>
      <c r="E9" s="5">
        <f>S4_Prices!E10/S4_Prices!E9-1</f>
        <v>0</v>
      </c>
      <c r="F9" s="5">
        <f>S4_Prices!F10/S4_Prices!F9-1</f>
        <v>0</v>
      </c>
      <c r="G9" s="5">
        <f>S4_Prices!G10/S4_Prices!G9-1</f>
        <v>0</v>
      </c>
      <c r="H9" s="5">
        <f>S4_Prices!H10/S4_Prices!H9-1</f>
        <v>0</v>
      </c>
      <c r="I9" s="5">
        <f>S4_Prices!I10/S4_Prices!I9-1</f>
        <v>0</v>
      </c>
      <c r="J9" s="5">
        <f>S4_Prices!J10/S4_Prices!J9-1</f>
        <v>0</v>
      </c>
      <c r="K9" s="5">
        <f>S4_Prices!K10/S4_Prices!K9-1</f>
        <v>0</v>
      </c>
      <c r="L9" s="10">
        <f>S5_Macro!E10/100</f>
        <v>0</v>
      </c>
    </row>
    <row r="10" spans="1:12">
      <c r="A10" s="8">
        <v>44469</v>
      </c>
      <c r="B10" s="5">
        <f>S4_Prices!B11/S4_Prices!B10-1</f>
        <v>0</v>
      </c>
      <c r="C10" s="5">
        <f>S4_Prices!C11/S4_Prices!C10-1</f>
        <v>0</v>
      </c>
      <c r="D10" s="5">
        <f>S4_Prices!D11/S4_Prices!D10-1</f>
        <v>0</v>
      </c>
      <c r="E10" s="5">
        <f>S4_Prices!E11/S4_Prices!E10-1</f>
        <v>0</v>
      </c>
      <c r="F10" s="5">
        <f>S4_Prices!F11/S4_Prices!F10-1</f>
        <v>0</v>
      </c>
      <c r="G10" s="5">
        <f>S4_Prices!G11/S4_Prices!G10-1</f>
        <v>0</v>
      </c>
      <c r="H10" s="5">
        <f>S4_Prices!H11/S4_Prices!H10-1</f>
        <v>0</v>
      </c>
      <c r="I10" s="5">
        <f>S4_Prices!I11/S4_Prices!I10-1</f>
        <v>0</v>
      </c>
      <c r="J10" s="5">
        <f>S4_Prices!J11/S4_Prices!J10-1</f>
        <v>0</v>
      </c>
      <c r="K10" s="5">
        <f>S4_Prices!K11/S4_Prices!K10-1</f>
        <v>0</v>
      </c>
      <c r="L10" s="10">
        <f>S5_Macro!E11/100</f>
        <v>0</v>
      </c>
    </row>
    <row r="11" spans="1:12">
      <c r="A11" s="8">
        <v>44500</v>
      </c>
      <c r="B11" s="5">
        <f>S4_Prices!B12/S4_Prices!B11-1</f>
        <v>0</v>
      </c>
      <c r="C11" s="5">
        <f>S4_Prices!C12/S4_Prices!C11-1</f>
        <v>0</v>
      </c>
      <c r="D11" s="5">
        <f>S4_Prices!D12/S4_Prices!D11-1</f>
        <v>0</v>
      </c>
      <c r="E11" s="5">
        <f>S4_Prices!E12/S4_Prices!E11-1</f>
        <v>0</v>
      </c>
      <c r="F11" s="5">
        <f>S4_Prices!F12/S4_Prices!F11-1</f>
        <v>0</v>
      </c>
      <c r="G11" s="5">
        <f>S4_Prices!G12/S4_Prices!G11-1</f>
        <v>0</v>
      </c>
      <c r="H11" s="5">
        <f>S4_Prices!H12/S4_Prices!H11-1</f>
        <v>0</v>
      </c>
      <c r="I11" s="5">
        <f>S4_Prices!I12/S4_Prices!I11-1</f>
        <v>0</v>
      </c>
      <c r="J11" s="5">
        <f>S4_Prices!J12/S4_Prices!J11-1</f>
        <v>0</v>
      </c>
      <c r="K11" s="5">
        <f>S4_Prices!K12/S4_Prices!K11-1</f>
        <v>0</v>
      </c>
      <c r="L11" s="10">
        <f>S5_Macro!E12/100</f>
        <v>0</v>
      </c>
    </row>
    <row r="12" spans="1:12">
      <c r="A12" s="8">
        <v>44530</v>
      </c>
      <c r="B12" s="5">
        <f>S4_Prices!B13/S4_Prices!B12-1</f>
        <v>0</v>
      </c>
      <c r="C12" s="5">
        <f>S4_Prices!C13/S4_Prices!C12-1</f>
        <v>0</v>
      </c>
      <c r="D12" s="5">
        <f>S4_Prices!D13/S4_Prices!D12-1</f>
        <v>0</v>
      </c>
      <c r="E12" s="5">
        <f>S4_Prices!E13/S4_Prices!E12-1</f>
        <v>0</v>
      </c>
      <c r="F12" s="5">
        <f>S4_Prices!F13/S4_Prices!F12-1</f>
        <v>0</v>
      </c>
      <c r="G12" s="5">
        <f>S4_Prices!G13/S4_Prices!G12-1</f>
        <v>0</v>
      </c>
      <c r="H12" s="5">
        <f>S4_Prices!H13/S4_Prices!H12-1</f>
        <v>0</v>
      </c>
      <c r="I12" s="5">
        <f>S4_Prices!I13/S4_Prices!I12-1</f>
        <v>0</v>
      </c>
      <c r="J12" s="5">
        <f>S4_Prices!J13/S4_Prices!J12-1</f>
        <v>0</v>
      </c>
      <c r="K12" s="5">
        <f>S4_Prices!K13/S4_Prices!K12-1</f>
        <v>0</v>
      </c>
      <c r="L12" s="10">
        <f>S5_Macro!E13/100</f>
        <v>0</v>
      </c>
    </row>
    <row r="13" spans="1:12">
      <c r="A13" s="8">
        <v>44561</v>
      </c>
      <c r="B13" s="5">
        <f>S4_Prices!B14/S4_Prices!B13-1</f>
        <v>0</v>
      </c>
      <c r="C13" s="5">
        <f>S4_Prices!C14/S4_Prices!C13-1</f>
        <v>0</v>
      </c>
      <c r="D13" s="5">
        <f>S4_Prices!D14/S4_Prices!D13-1</f>
        <v>0</v>
      </c>
      <c r="E13" s="5">
        <f>S4_Prices!E14/S4_Prices!E13-1</f>
        <v>0</v>
      </c>
      <c r="F13" s="5">
        <f>S4_Prices!F14/S4_Prices!F13-1</f>
        <v>0</v>
      </c>
      <c r="G13" s="5">
        <f>S4_Prices!G14/S4_Prices!G13-1</f>
        <v>0</v>
      </c>
      <c r="H13" s="5">
        <f>S4_Prices!H14/S4_Prices!H13-1</f>
        <v>0</v>
      </c>
      <c r="I13" s="5">
        <f>S4_Prices!I14/S4_Prices!I13-1</f>
        <v>0</v>
      </c>
      <c r="J13" s="5">
        <f>S4_Prices!J14/S4_Prices!J13-1</f>
        <v>0</v>
      </c>
      <c r="K13" s="5">
        <f>S4_Prices!K14/S4_Prices!K13-1</f>
        <v>0</v>
      </c>
      <c r="L13" s="10">
        <f>S5_Macro!E14/100</f>
        <v>0</v>
      </c>
    </row>
    <row r="14" spans="1:12">
      <c r="A14" s="8">
        <v>44592</v>
      </c>
      <c r="B14" s="5">
        <f>S4_Prices!B15/S4_Prices!B14-1</f>
        <v>0</v>
      </c>
      <c r="C14" s="5">
        <f>S4_Prices!C15/S4_Prices!C14-1</f>
        <v>0</v>
      </c>
      <c r="D14" s="5">
        <f>S4_Prices!D15/S4_Prices!D14-1</f>
        <v>0</v>
      </c>
      <c r="E14" s="5">
        <f>S4_Prices!E15/S4_Prices!E14-1</f>
        <v>0</v>
      </c>
      <c r="F14" s="5">
        <f>S4_Prices!F15/S4_Prices!F14-1</f>
        <v>0</v>
      </c>
      <c r="G14" s="5">
        <f>S4_Prices!G15/S4_Prices!G14-1</f>
        <v>0</v>
      </c>
      <c r="H14" s="5">
        <f>S4_Prices!H15/S4_Prices!H14-1</f>
        <v>0</v>
      </c>
      <c r="I14" s="5">
        <f>S4_Prices!I15/S4_Prices!I14-1</f>
        <v>0</v>
      </c>
      <c r="J14" s="5">
        <f>S4_Prices!J15/S4_Prices!J14-1</f>
        <v>0</v>
      </c>
      <c r="K14" s="5">
        <f>S4_Prices!K15/S4_Prices!K14-1</f>
        <v>0</v>
      </c>
      <c r="L14" s="10">
        <f>S5_Macro!E15/100</f>
        <v>0</v>
      </c>
    </row>
    <row r="15" spans="1:12">
      <c r="A15" s="8">
        <v>44620</v>
      </c>
      <c r="B15" s="5">
        <f>S4_Prices!B16/S4_Prices!B15-1</f>
        <v>0</v>
      </c>
      <c r="C15" s="5">
        <f>S4_Prices!C16/S4_Prices!C15-1</f>
        <v>0</v>
      </c>
      <c r="D15" s="5">
        <f>S4_Prices!D16/S4_Prices!D15-1</f>
        <v>0</v>
      </c>
      <c r="E15" s="5">
        <f>S4_Prices!E16/S4_Prices!E15-1</f>
        <v>0</v>
      </c>
      <c r="F15" s="5">
        <f>S4_Prices!F16/S4_Prices!F15-1</f>
        <v>0</v>
      </c>
      <c r="G15" s="5">
        <f>S4_Prices!G16/S4_Prices!G15-1</f>
        <v>0</v>
      </c>
      <c r="H15" s="5">
        <f>S4_Prices!H16/S4_Prices!H15-1</f>
        <v>0</v>
      </c>
      <c r="I15" s="5">
        <f>S4_Prices!I16/S4_Prices!I15-1</f>
        <v>0</v>
      </c>
      <c r="J15" s="5">
        <f>S4_Prices!J16/S4_Prices!J15-1</f>
        <v>0</v>
      </c>
      <c r="K15" s="5">
        <f>S4_Prices!K16/S4_Prices!K15-1</f>
        <v>0</v>
      </c>
      <c r="L15" s="10">
        <f>S5_Macro!E16/100</f>
        <v>0</v>
      </c>
    </row>
    <row r="16" spans="1:12">
      <c r="A16" s="8">
        <v>44651</v>
      </c>
      <c r="B16" s="5">
        <f>S4_Prices!B17/S4_Prices!B16-1</f>
        <v>0</v>
      </c>
      <c r="C16" s="5">
        <f>S4_Prices!C17/S4_Prices!C16-1</f>
        <v>0</v>
      </c>
      <c r="D16" s="5">
        <f>S4_Prices!D17/S4_Prices!D16-1</f>
        <v>0</v>
      </c>
      <c r="E16" s="5">
        <f>S4_Prices!E17/S4_Prices!E16-1</f>
        <v>0</v>
      </c>
      <c r="F16" s="5">
        <f>S4_Prices!F17/S4_Prices!F16-1</f>
        <v>0</v>
      </c>
      <c r="G16" s="5">
        <f>S4_Prices!G17/S4_Prices!G16-1</f>
        <v>0</v>
      </c>
      <c r="H16" s="5">
        <f>S4_Prices!H17/S4_Prices!H16-1</f>
        <v>0</v>
      </c>
      <c r="I16" s="5">
        <f>S4_Prices!I17/S4_Prices!I16-1</f>
        <v>0</v>
      </c>
      <c r="J16" s="5">
        <f>S4_Prices!J17/S4_Prices!J16-1</f>
        <v>0</v>
      </c>
      <c r="K16" s="5">
        <f>S4_Prices!K17/S4_Prices!K16-1</f>
        <v>0</v>
      </c>
      <c r="L16" s="10">
        <f>S5_Macro!E17/100</f>
        <v>0</v>
      </c>
    </row>
    <row r="17" spans="1:12">
      <c r="A17" s="8">
        <v>44681</v>
      </c>
      <c r="B17" s="5">
        <f>S4_Prices!B18/S4_Prices!B17-1</f>
        <v>0</v>
      </c>
      <c r="C17" s="5">
        <f>S4_Prices!C18/S4_Prices!C17-1</f>
        <v>0</v>
      </c>
      <c r="D17" s="5">
        <f>S4_Prices!D18/S4_Prices!D17-1</f>
        <v>0</v>
      </c>
      <c r="E17" s="5">
        <f>S4_Prices!E18/S4_Prices!E17-1</f>
        <v>0</v>
      </c>
      <c r="F17" s="5">
        <f>S4_Prices!F18/S4_Prices!F17-1</f>
        <v>0</v>
      </c>
      <c r="G17" s="5">
        <f>S4_Prices!G18/S4_Prices!G17-1</f>
        <v>0</v>
      </c>
      <c r="H17" s="5">
        <f>S4_Prices!H18/S4_Prices!H17-1</f>
        <v>0</v>
      </c>
      <c r="I17" s="5">
        <f>S4_Prices!I18/S4_Prices!I17-1</f>
        <v>0</v>
      </c>
      <c r="J17" s="5">
        <f>S4_Prices!J18/S4_Prices!J17-1</f>
        <v>0</v>
      </c>
      <c r="K17" s="5">
        <f>S4_Prices!K18/S4_Prices!K17-1</f>
        <v>0</v>
      </c>
      <c r="L17" s="10">
        <f>S5_Macro!E18/100</f>
        <v>0</v>
      </c>
    </row>
    <row r="18" spans="1:12">
      <c r="A18" s="8">
        <v>44712</v>
      </c>
      <c r="B18" s="5">
        <f>S4_Prices!B19/S4_Prices!B18-1</f>
        <v>0</v>
      </c>
      <c r="C18" s="5">
        <f>S4_Prices!C19/S4_Prices!C18-1</f>
        <v>0</v>
      </c>
      <c r="D18" s="5">
        <f>S4_Prices!D19/S4_Prices!D18-1</f>
        <v>0</v>
      </c>
      <c r="E18" s="5">
        <f>S4_Prices!E19/S4_Prices!E18-1</f>
        <v>0</v>
      </c>
      <c r="F18" s="5">
        <f>S4_Prices!F19/S4_Prices!F18-1</f>
        <v>0</v>
      </c>
      <c r="G18" s="5">
        <f>S4_Prices!G19/S4_Prices!G18-1</f>
        <v>0</v>
      </c>
      <c r="H18" s="5">
        <f>S4_Prices!H19/S4_Prices!H18-1</f>
        <v>0</v>
      </c>
      <c r="I18" s="5">
        <f>S4_Prices!I19/S4_Prices!I18-1</f>
        <v>0</v>
      </c>
      <c r="J18" s="5">
        <f>S4_Prices!J19/S4_Prices!J18-1</f>
        <v>0</v>
      </c>
      <c r="K18" s="5">
        <f>S4_Prices!K19/S4_Prices!K18-1</f>
        <v>0</v>
      </c>
      <c r="L18" s="10">
        <f>S5_Macro!E19/100</f>
        <v>0</v>
      </c>
    </row>
    <row r="19" spans="1:12">
      <c r="A19" s="8">
        <v>44742</v>
      </c>
      <c r="B19" s="5">
        <f>S4_Prices!B20/S4_Prices!B19-1</f>
        <v>0</v>
      </c>
      <c r="C19" s="5">
        <f>S4_Prices!C20/S4_Prices!C19-1</f>
        <v>0</v>
      </c>
      <c r="D19" s="5">
        <f>S4_Prices!D20/S4_Prices!D19-1</f>
        <v>0</v>
      </c>
      <c r="E19" s="5">
        <f>S4_Prices!E20/S4_Prices!E19-1</f>
        <v>0</v>
      </c>
      <c r="F19" s="5">
        <f>S4_Prices!F20/S4_Prices!F19-1</f>
        <v>0</v>
      </c>
      <c r="G19" s="5">
        <f>S4_Prices!G20/S4_Prices!G19-1</f>
        <v>0</v>
      </c>
      <c r="H19" s="5">
        <f>S4_Prices!H20/S4_Prices!H19-1</f>
        <v>0</v>
      </c>
      <c r="I19" s="5">
        <f>S4_Prices!I20/S4_Prices!I19-1</f>
        <v>0</v>
      </c>
      <c r="J19" s="5">
        <f>S4_Prices!J20/S4_Prices!J19-1</f>
        <v>0</v>
      </c>
      <c r="K19" s="5">
        <f>S4_Prices!K20/S4_Prices!K19-1</f>
        <v>0</v>
      </c>
      <c r="L19" s="10">
        <f>S5_Macro!E20/100</f>
        <v>0</v>
      </c>
    </row>
    <row r="20" spans="1:12">
      <c r="A20" s="8">
        <v>44773</v>
      </c>
      <c r="B20" s="5">
        <f>S4_Prices!B21/S4_Prices!B20-1</f>
        <v>0</v>
      </c>
      <c r="C20" s="5">
        <f>S4_Prices!C21/S4_Prices!C20-1</f>
        <v>0</v>
      </c>
      <c r="D20" s="5">
        <f>S4_Prices!D21/S4_Prices!D20-1</f>
        <v>0</v>
      </c>
      <c r="E20" s="5">
        <f>S4_Prices!E21/S4_Prices!E20-1</f>
        <v>0</v>
      </c>
      <c r="F20" s="5">
        <f>S4_Prices!F21/S4_Prices!F20-1</f>
        <v>0</v>
      </c>
      <c r="G20" s="5">
        <f>S4_Prices!G21/S4_Prices!G20-1</f>
        <v>0</v>
      </c>
      <c r="H20" s="5">
        <f>S4_Prices!H21/S4_Prices!H20-1</f>
        <v>0</v>
      </c>
      <c r="I20" s="5">
        <f>S4_Prices!I21/S4_Prices!I20-1</f>
        <v>0</v>
      </c>
      <c r="J20" s="5">
        <f>S4_Prices!J21/S4_Prices!J20-1</f>
        <v>0</v>
      </c>
      <c r="K20" s="5">
        <f>S4_Prices!K21/S4_Prices!K20-1</f>
        <v>0</v>
      </c>
      <c r="L20" s="10">
        <f>S5_Macro!E21/100</f>
        <v>0</v>
      </c>
    </row>
    <row r="21" spans="1:12">
      <c r="A21" s="8">
        <v>44804</v>
      </c>
      <c r="B21" s="5">
        <f>S4_Prices!B22/S4_Prices!B21-1</f>
        <v>0</v>
      </c>
      <c r="C21" s="5">
        <f>S4_Prices!C22/S4_Prices!C21-1</f>
        <v>0</v>
      </c>
      <c r="D21" s="5">
        <f>S4_Prices!D22/S4_Prices!D21-1</f>
        <v>0</v>
      </c>
      <c r="E21" s="5">
        <f>S4_Prices!E22/S4_Prices!E21-1</f>
        <v>0</v>
      </c>
      <c r="F21" s="5">
        <f>S4_Prices!F22/S4_Prices!F21-1</f>
        <v>0</v>
      </c>
      <c r="G21" s="5">
        <f>S4_Prices!G22/S4_Prices!G21-1</f>
        <v>0</v>
      </c>
      <c r="H21" s="5">
        <f>S4_Prices!H22/S4_Prices!H21-1</f>
        <v>0</v>
      </c>
      <c r="I21" s="5">
        <f>S4_Prices!I22/S4_Prices!I21-1</f>
        <v>0</v>
      </c>
      <c r="J21" s="5">
        <f>S4_Prices!J22/S4_Prices!J21-1</f>
        <v>0</v>
      </c>
      <c r="K21" s="5">
        <f>S4_Prices!K22/S4_Prices!K21-1</f>
        <v>0</v>
      </c>
      <c r="L21" s="10">
        <f>S5_Macro!E22/100</f>
        <v>0</v>
      </c>
    </row>
    <row r="22" spans="1:12">
      <c r="A22" s="8">
        <v>44834</v>
      </c>
      <c r="B22" s="5">
        <f>S4_Prices!B23/S4_Prices!B22-1</f>
        <v>0</v>
      </c>
      <c r="C22" s="5">
        <f>S4_Prices!C23/S4_Prices!C22-1</f>
        <v>0</v>
      </c>
      <c r="D22" s="5">
        <f>S4_Prices!D23/S4_Prices!D22-1</f>
        <v>0</v>
      </c>
      <c r="E22" s="5">
        <f>S4_Prices!E23/S4_Prices!E22-1</f>
        <v>0</v>
      </c>
      <c r="F22" s="5">
        <f>S4_Prices!F23/S4_Prices!F22-1</f>
        <v>0</v>
      </c>
      <c r="G22" s="5">
        <f>S4_Prices!G23/S4_Prices!G22-1</f>
        <v>0</v>
      </c>
      <c r="H22" s="5">
        <f>S4_Prices!H23/S4_Prices!H22-1</f>
        <v>0</v>
      </c>
      <c r="I22" s="5">
        <f>S4_Prices!I23/S4_Prices!I22-1</f>
        <v>0</v>
      </c>
      <c r="J22" s="5">
        <f>S4_Prices!J23/S4_Prices!J22-1</f>
        <v>0</v>
      </c>
      <c r="K22" s="5">
        <f>S4_Prices!K23/S4_Prices!K22-1</f>
        <v>0</v>
      </c>
      <c r="L22" s="10">
        <f>S5_Macro!E23/100</f>
        <v>0</v>
      </c>
    </row>
    <row r="23" spans="1:12">
      <c r="A23" s="8">
        <v>44865</v>
      </c>
      <c r="B23" s="5">
        <f>S4_Prices!B24/S4_Prices!B23-1</f>
        <v>0</v>
      </c>
      <c r="C23" s="5">
        <f>S4_Prices!C24/S4_Prices!C23-1</f>
        <v>0</v>
      </c>
      <c r="D23" s="5">
        <f>S4_Prices!D24/S4_Prices!D23-1</f>
        <v>0</v>
      </c>
      <c r="E23" s="5">
        <f>S4_Prices!E24/S4_Prices!E23-1</f>
        <v>0</v>
      </c>
      <c r="F23" s="5">
        <f>S4_Prices!F24/S4_Prices!F23-1</f>
        <v>0</v>
      </c>
      <c r="G23" s="5">
        <f>S4_Prices!G24/S4_Prices!G23-1</f>
        <v>0</v>
      </c>
      <c r="H23" s="5">
        <f>S4_Prices!H24/S4_Prices!H23-1</f>
        <v>0</v>
      </c>
      <c r="I23" s="5">
        <f>S4_Prices!I24/S4_Prices!I23-1</f>
        <v>0</v>
      </c>
      <c r="J23" s="5">
        <f>S4_Prices!J24/S4_Prices!J23-1</f>
        <v>0</v>
      </c>
      <c r="K23" s="5">
        <f>S4_Prices!K24/S4_Prices!K23-1</f>
        <v>0</v>
      </c>
      <c r="L23" s="10">
        <f>S5_Macro!E24/100</f>
        <v>0</v>
      </c>
    </row>
    <row r="24" spans="1:12">
      <c r="A24" s="8">
        <v>44895</v>
      </c>
      <c r="B24" s="5">
        <f>S4_Prices!B25/S4_Prices!B24-1</f>
        <v>0</v>
      </c>
      <c r="C24" s="5">
        <f>S4_Prices!C25/S4_Prices!C24-1</f>
        <v>0</v>
      </c>
      <c r="D24" s="5">
        <f>S4_Prices!D25/S4_Prices!D24-1</f>
        <v>0</v>
      </c>
      <c r="E24" s="5">
        <f>S4_Prices!E25/S4_Prices!E24-1</f>
        <v>0</v>
      </c>
      <c r="F24" s="5">
        <f>S4_Prices!F25/S4_Prices!F24-1</f>
        <v>0</v>
      </c>
      <c r="G24" s="5">
        <f>S4_Prices!G25/S4_Prices!G24-1</f>
        <v>0</v>
      </c>
      <c r="H24" s="5">
        <f>S4_Prices!H25/S4_Prices!H24-1</f>
        <v>0</v>
      </c>
      <c r="I24" s="5">
        <f>S4_Prices!I25/S4_Prices!I24-1</f>
        <v>0</v>
      </c>
      <c r="J24" s="5">
        <f>S4_Prices!J25/S4_Prices!J24-1</f>
        <v>0</v>
      </c>
      <c r="K24" s="5">
        <f>S4_Prices!K25/S4_Prices!K24-1</f>
        <v>0</v>
      </c>
      <c r="L24" s="10">
        <f>S5_Macro!E25/100</f>
        <v>0</v>
      </c>
    </row>
    <row r="25" spans="1:12">
      <c r="A25" s="8">
        <v>44926</v>
      </c>
      <c r="B25" s="5">
        <f>S4_Prices!B26/S4_Prices!B25-1</f>
        <v>0</v>
      </c>
      <c r="C25" s="5">
        <f>S4_Prices!C26/S4_Prices!C25-1</f>
        <v>0</v>
      </c>
      <c r="D25" s="5">
        <f>S4_Prices!D26/S4_Prices!D25-1</f>
        <v>0</v>
      </c>
      <c r="E25" s="5">
        <f>S4_Prices!E26/S4_Prices!E25-1</f>
        <v>0</v>
      </c>
      <c r="F25" s="5">
        <f>S4_Prices!F26/S4_Prices!F25-1</f>
        <v>0</v>
      </c>
      <c r="G25" s="5">
        <f>S4_Prices!G26/S4_Prices!G25-1</f>
        <v>0</v>
      </c>
      <c r="H25" s="5">
        <f>S4_Prices!H26/S4_Prices!H25-1</f>
        <v>0</v>
      </c>
      <c r="I25" s="5">
        <f>S4_Prices!I26/S4_Prices!I25-1</f>
        <v>0</v>
      </c>
      <c r="J25" s="5">
        <f>S4_Prices!J26/S4_Prices!J25-1</f>
        <v>0</v>
      </c>
      <c r="K25" s="5">
        <f>S4_Prices!K26/S4_Prices!K25-1</f>
        <v>0</v>
      </c>
      <c r="L25" s="10">
        <f>S5_Macro!E26/100</f>
        <v>0</v>
      </c>
    </row>
    <row r="26" spans="1:12">
      <c r="A26" s="8">
        <v>44957</v>
      </c>
      <c r="B26" s="5">
        <f>S4_Prices!B27/S4_Prices!B26-1</f>
        <v>0</v>
      </c>
      <c r="C26" s="5">
        <f>S4_Prices!C27/S4_Prices!C26-1</f>
        <v>0</v>
      </c>
      <c r="D26" s="5">
        <f>S4_Prices!D27/S4_Prices!D26-1</f>
        <v>0</v>
      </c>
      <c r="E26" s="5">
        <f>S4_Prices!E27/S4_Prices!E26-1</f>
        <v>0</v>
      </c>
      <c r="F26" s="5">
        <f>S4_Prices!F27/S4_Prices!F26-1</f>
        <v>0</v>
      </c>
      <c r="G26" s="5">
        <f>S4_Prices!G27/S4_Prices!G26-1</f>
        <v>0</v>
      </c>
      <c r="H26" s="5">
        <f>S4_Prices!H27/S4_Prices!H26-1</f>
        <v>0</v>
      </c>
      <c r="I26" s="5">
        <f>S4_Prices!I27/S4_Prices!I26-1</f>
        <v>0</v>
      </c>
      <c r="J26" s="5">
        <f>S4_Prices!J27/S4_Prices!J26-1</f>
        <v>0</v>
      </c>
      <c r="K26" s="5">
        <f>S4_Prices!K27/S4_Prices!K26-1</f>
        <v>0</v>
      </c>
      <c r="L26" s="10">
        <f>S5_Macro!E27/100</f>
        <v>0</v>
      </c>
    </row>
    <row r="27" spans="1:12">
      <c r="A27" s="8">
        <v>44985</v>
      </c>
      <c r="B27" s="5">
        <f>S4_Prices!B28/S4_Prices!B27-1</f>
        <v>0</v>
      </c>
      <c r="C27" s="5">
        <f>S4_Prices!C28/S4_Prices!C27-1</f>
        <v>0</v>
      </c>
      <c r="D27" s="5">
        <f>S4_Prices!D28/S4_Prices!D27-1</f>
        <v>0</v>
      </c>
      <c r="E27" s="5">
        <f>S4_Prices!E28/S4_Prices!E27-1</f>
        <v>0</v>
      </c>
      <c r="F27" s="5">
        <f>S4_Prices!F28/S4_Prices!F27-1</f>
        <v>0</v>
      </c>
      <c r="G27" s="5">
        <f>S4_Prices!G28/S4_Prices!G27-1</f>
        <v>0</v>
      </c>
      <c r="H27" s="5">
        <f>S4_Prices!H28/S4_Prices!H27-1</f>
        <v>0</v>
      </c>
      <c r="I27" s="5">
        <f>S4_Prices!I28/S4_Prices!I27-1</f>
        <v>0</v>
      </c>
      <c r="J27" s="5">
        <f>S4_Prices!J28/S4_Prices!J27-1</f>
        <v>0</v>
      </c>
      <c r="K27" s="5">
        <f>S4_Prices!K28/S4_Prices!K27-1</f>
        <v>0</v>
      </c>
      <c r="L27" s="10">
        <f>S5_Macro!E28/100</f>
        <v>0</v>
      </c>
    </row>
    <row r="28" spans="1:12">
      <c r="A28" s="8">
        <v>45016</v>
      </c>
      <c r="B28" s="5">
        <f>S4_Prices!B29/S4_Prices!B28-1</f>
        <v>0</v>
      </c>
      <c r="C28" s="5">
        <f>S4_Prices!C29/S4_Prices!C28-1</f>
        <v>0</v>
      </c>
      <c r="D28" s="5">
        <f>S4_Prices!D29/S4_Prices!D28-1</f>
        <v>0</v>
      </c>
      <c r="E28" s="5">
        <f>S4_Prices!E29/S4_Prices!E28-1</f>
        <v>0</v>
      </c>
      <c r="F28" s="5">
        <f>S4_Prices!F29/S4_Prices!F28-1</f>
        <v>0</v>
      </c>
      <c r="G28" s="5">
        <f>S4_Prices!G29/S4_Prices!G28-1</f>
        <v>0</v>
      </c>
      <c r="H28" s="5">
        <f>S4_Prices!H29/S4_Prices!H28-1</f>
        <v>0</v>
      </c>
      <c r="I28" s="5">
        <f>S4_Prices!I29/S4_Prices!I28-1</f>
        <v>0</v>
      </c>
      <c r="J28" s="5">
        <f>S4_Prices!J29/S4_Prices!J28-1</f>
        <v>0</v>
      </c>
      <c r="K28" s="5">
        <f>S4_Prices!K29/S4_Prices!K28-1</f>
        <v>0</v>
      </c>
      <c r="L28" s="10">
        <f>S5_Macro!E29/100</f>
        <v>0</v>
      </c>
    </row>
    <row r="29" spans="1:12">
      <c r="A29" s="8">
        <v>45046</v>
      </c>
      <c r="B29" s="5">
        <f>S4_Prices!B30/S4_Prices!B29-1</f>
        <v>0</v>
      </c>
      <c r="C29" s="5">
        <f>S4_Prices!C30/S4_Prices!C29-1</f>
        <v>0</v>
      </c>
      <c r="D29" s="5">
        <f>S4_Prices!D30/S4_Prices!D29-1</f>
        <v>0</v>
      </c>
      <c r="E29" s="5">
        <f>S4_Prices!E30/S4_Prices!E29-1</f>
        <v>0</v>
      </c>
      <c r="F29" s="5">
        <f>S4_Prices!F30/S4_Prices!F29-1</f>
        <v>0</v>
      </c>
      <c r="G29" s="5">
        <f>S4_Prices!G30/S4_Prices!G29-1</f>
        <v>0</v>
      </c>
      <c r="H29" s="5">
        <f>S4_Prices!H30/S4_Prices!H29-1</f>
        <v>0</v>
      </c>
      <c r="I29" s="5">
        <f>S4_Prices!I30/S4_Prices!I29-1</f>
        <v>0</v>
      </c>
      <c r="J29" s="5">
        <f>S4_Prices!J30/S4_Prices!J29-1</f>
        <v>0</v>
      </c>
      <c r="K29" s="5">
        <f>S4_Prices!K30/S4_Prices!K29-1</f>
        <v>0</v>
      </c>
      <c r="L29" s="10">
        <f>S5_Macro!E30/100</f>
        <v>0</v>
      </c>
    </row>
    <row r="30" spans="1:12">
      <c r="A30" s="8">
        <v>45077</v>
      </c>
      <c r="B30" s="5">
        <f>S4_Prices!B31/S4_Prices!B30-1</f>
        <v>0</v>
      </c>
      <c r="C30" s="5">
        <f>S4_Prices!C31/S4_Prices!C30-1</f>
        <v>0</v>
      </c>
      <c r="D30" s="5">
        <f>S4_Prices!D31/S4_Prices!D30-1</f>
        <v>0</v>
      </c>
      <c r="E30" s="5">
        <f>S4_Prices!E31/S4_Prices!E30-1</f>
        <v>0</v>
      </c>
      <c r="F30" s="5">
        <f>S4_Prices!F31/S4_Prices!F30-1</f>
        <v>0</v>
      </c>
      <c r="G30" s="5">
        <f>S4_Prices!G31/S4_Prices!G30-1</f>
        <v>0</v>
      </c>
      <c r="H30" s="5">
        <f>S4_Prices!H31/S4_Prices!H30-1</f>
        <v>0</v>
      </c>
      <c r="I30" s="5">
        <f>S4_Prices!I31/S4_Prices!I30-1</f>
        <v>0</v>
      </c>
      <c r="J30" s="5">
        <f>S4_Prices!J31/S4_Prices!J30-1</f>
        <v>0</v>
      </c>
      <c r="K30" s="5">
        <f>S4_Prices!K31/S4_Prices!K30-1</f>
        <v>0</v>
      </c>
      <c r="L30" s="10">
        <f>S5_Macro!E31/100</f>
        <v>0</v>
      </c>
    </row>
    <row r="31" spans="1:12">
      <c r="A31" s="8">
        <v>45107</v>
      </c>
      <c r="B31" s="5">
        <f>S4_Prices!B32/S4_Prices!B31-1</f>
        <v>0</v>
      </c>
      <c r="C31" s="5">
        <f>S4_Prices!C32/S4_Prices!C31-1</f>
        <v>0</v>
      </c>
      <c r="D31" s="5">
        <f>S4_Prices!D32/S4_Prices!D31-1</f>
        <v>0</v>
      </c>
      <c r="E31" s="5">
        <f>S4_Prices!E32/S4_Prices!E31-1</f>
        <v>0</v>
      </c>
      <c r="F31" s="5">
        <f>S4_Prices!F32/S4_Prices!F31-1</f>
        <v>0</v>
      </c>
      <c r="G31" s="5">
        <f>S4_Prices!G32/S4_Prices!G31-1</f>
        <v>0</v>
      </c>
      <c r="H31" s="5">
        <f>S4_Prices!H32/S4_Prices!H31-1</f>
        <v>0</v>
      </c>
      <c r="I31" s="5">
        <f>S4_Prices!I32/S4_Prices!I31-1</f>
        <v>0</v>
      </c>
      <c r="J31" s="5">
        <f>S4_Prices!J32/S4_Prices!J31-1</f>
        <v>0</v>
      </c>
      <c r="K31" s="5">
        <f>S4_Prices!K32/S4_Prices!K31-1</f>
        <v>0</v>
      </c>
      <c r="L31" s="10">
        <f>S5_Macro!E32/100</f>
        <v>0</v>
      </c>
    </row>
    <row r="32" spans="1:12">
      <c r="A32" s="8">
        <v>45138</v>
      </c>
      <c r="B32" s="5">
        <f>S4_Prices!B33/S4_Prices!B32-1</f>
        <v>0</v>
      </c>
      <c r="C32" s="5">
        <f>S4_Prices!C33/S4_Prices!C32-1</f>
        <v>0</v>
      </c>
      <c r="D32" s="5">
        <f>S4_Prices!D33/S4_Prices!D32-1</f>
        <v>0</v>
      </c>
      <c r="E32" s="5">
        <f>S4_Prices!E33/S4_Prices!E32-1</f>
        <v>0</v>
      </c>
      <c r="F32" s="5">
        <f>S4_Prices!F33/S4_Prices!F32-1</f>
        <v>0</v>
      </c>
      <c r="G32" s="5">
        <f>S4_Prices!G33/S4_Prices!G32-1</f>
        <v>0</v>
      </c>
      <c r="H32" s="5">
        <f>S4_Prices!H33/S4_Prices!H32-1</f>
        <v>0</v>
      </c>
      <c r="I32" s="5">
        <f>S4_Prices!I33/S4_Prices!I32-1</f>
        <v>0</v>
      </c>
      <c r="J32" s="5">
        <f>S4_Prices!J33/S4_Prices!J32-1</f>
        <v>0</v>
      </c>
      <c r="K32" s="5">
        <f>S4_Prices!K33/S4_Prices!K32-1</f>
        <v>0</v>
      </c>
      <c r="L32" s="10">
        <f>S5_Macro!E33/100</f>
        <v>0</v>
      </c>
    </row>
    <row r="33" spans="1:12">
      <c r="A33" s="8">
        <v>45169</v>
      </c>
      <c r="B33" s="5">
        <f>S4_Prices!B34/S4_Prices!B33-1</f>
        <v>0</v>
      </c>
      <c r="C33" s="5">
        <f>S4_Prices!C34/S4_Prices!C33-1</f>
        <v>0</v>
      </c>
      <c r="D33" s="5">
        <f>S4_Prices!D34/S4_Prices!D33-1</f>
        <v>0</v>
      </c>
      <c r="E33" s="5">
        <f>S4_Prices!E34/S4_Prices!E33-1</f>
        <v>0</v>
      </c>
      <c r="F33" s="5">
        <f>S4_Prices!F34/S4_Prices!F33-1</f>
        <v>0</v>
      </c>
      <c r="G33" s="5">
        <f>S4_Prices!G34/S4_Prices!G33-1</f>
        <v>0</v>
      </c>
      <c r="H33" s="5">
        <f>S4_Prices!H34/S4_Prices!H33-1</f>
        <v>0</v>
      </c>
      <c r="I33" s="5">
        <f>S4_Prices!I34/S4_Prices!I33-1</f>
        <v>0</v>
      </c>
      <c r="J33" s="5">
        <f>S4_Prices!J34/S4_Prices!J33-1</f>
        <v>0</v>
      </c>
      <c r="K33" s="5">
        <f>S4_Prices!K34/S4_Prices!K33-1</f>
        <v>0</v>
      </c>
      <c r="L33" s="10">
        <f>S5_Macro!E34/100</f>
        <v>0</v>
      </c>
    </row>
    <row r="34" spans="1:12">
      <c r="A34" s="8">
        <v>45199</v>
      </c>
      <c r="B34" s="5">
        <f>S4_Prices!B35/S4_Prices!B34-1</f>
        <v>0</v>
      </c>
      <c r="C34" s="5">
        <f>S4_Prices!C35/S4_Prices!C34-1</f>
        <v>0</v>
      </c>
      <c r="D34" s="5">
        <f>S4_Prices!D35/S4_Prices!D34-1</f>
        <v>0</v>
      </c>
      <c r="E34" s="5">
        <f>S4_Prices!E35/S4_Prices!E34-1</f>
        <v>0</v>
      </c>
      <c r="F34" s="5">
        <f>S4_Prices!F35/S4_Prices!F34-1</f>
        <v>0</v>
      </c>
      <c r="G34" s="5">
        <f>S4_Prices!G35/S4_Prices!G34-1</f>
        <v>0</v>
      </c>
      <c r="H34" s="5">
        <f>S4_Prices!H35/S4_Prices!H34-1</f>
        <v>0</v>
      </c>
      <c r="I34" s="5">
        <f>S4_Prices!I35/S4_Prices!I34-1</f>
        <v>0</v>
      </c>
      <c r="J34" s="5">
        <f>S4_Prices!J35/S4_Prices!J34-1</f>
        <v>0</v>
      </c>
      <c r="K34" s="5">
        <f>S4_Prices!K35/S4_Prices!K34-1</f>
        <v>0</v>
      </c>
      <c r="L34" s="10">
        <f>S5_Macro!E35/100</f>
        <v>0</v>
      </c>
    </row>
    <row r="35" spans="1:12">
      <c r="A35" s="8">
        <v>45230</v>
      </c>
      <c r="B35" s="5">
        <f>S4_Prices!B36/S4_Prices!B35-1</f>
        <v>0</v>
      </c>
      <c r="C35" s="5">
        <f>S4_Prices!C36/S4_Prices!C35-1</f>
        <v>0</v>
      </c>
      <c r="D35" s="5">
        <f>S4_Prices!D36/S4_Prices!D35-1</f>
        <v>0</v>
      </c>
      <c r="E35" s="5">
        <f>S4_Prices!E36/S4_Prices!E35-1</f>
        <v>0</v>
      </c>
      <c r="F35" s="5">
        <f>S4_Prices!F36/S4_Prices!F35-1</f>
        <v>0</v>
      </c>
      <c r="G35" s="5">
        <f>S4_Prices!G36/S4_Prices!G35-1</f>
        <v>0</v>
      </c>
      <c r="H35" s="5">
        <f>S4_Prices!H36/S4_Prices!H35-1</f>
        <v>0</v>
      </c>
      <c r="I35" s="5">
        <f>S4_Prices!I36/S4_Prices!I35-1</f>
        <v>0</v>
      </c>
      <c r="J35" s="5">
        <f>S4_Prices!J36/S4_Prices!J35-1</f>
        <v>0</v>
      </c>
      <c r="K35" s="5">
        <f>S4_Prices!K36/S4_Prices!K35-1</f>
        <v>0</v>
      </c>
      <c r="L35" s="10">
        <f>S5_Macro!E36/100</f>
        <v>0</v>
      </c>
    </row>
    <row r="36" spans="1:12">
      <c r="A36" s="8">
        <v>45260</v>
      </c>
      <c r="B36" s="5">
        <f>S4_Prices!B37/S4_Prices!B36-1</f>
        <v>0</v>
      </c>
      <c r="C36" s="5">
        <f>S4_Prices!C37/S4_Prices!C36-1</f>
        <v>0</v>
      </c>
      <c r="D36" s="5">
        <f>S4_Prices!D37/S4_Prices!D36-1</f>
        <v>0</v>
      </c>
      <c r="E36" s="5">
        <f>S4_Prices!E37/S4_Prices!E36-1</f>
        <v>0</v>
      </c>
      <c r="F36" s="5">
        <f>S4_Prices!F37/S4_Prices!F36-1</f>
        <v>0</v>
      </c>
      <c r="G36" s="5">
        <f>S4_Prices!G37/S4_Prices!G36-1</f>
        <v>0</v>
      </c>
      <c r="H36" s="5">
        <f>S4_Prices!H37/S4_Prices!H36-1</f>
        <v>0</v>
      </c>
      <c r="I36" s="5">
        <f>S4_Prices!I37/S4_Prices!I36-1</f>
        <v>0</v>
      </c>
      <c r="J36" s="5">
        <f>S4_Prices!J37/S4_Prices!J36-1</f>
        <v>0</v>
      </c>
      <c r="K36" s="5">
        <f>S4_Prices!K37/S4_Prices!K36-1</f>
        <v>0</v>
      </c>
      <c r="L36" s="10">
        <f>S5_Macro!E37/100</f>
        <v>0</v>
      </c>
    </row>
    <row r="37" spans="1:12">
      <c r="A37" s="8">
        <v>45291</v>
      </c>
      <c r="B37" s="5">
        <f>S4_Prices!B38/S4_Prices!B37-1</f>
        <v>0</v>
      </c>
      <c r="C37" s="5">
        <f>S4_Prices!C38/S4_Prices!C37-1</f>
        <v>0</v>
      </c>
      <c r="D37" s="5">
        <f>S4_Prices!D38/S4_Prices!D37-1</f>
        <v>0</v>
      </c>
      <c r="E37" s="5">
        <f>S4_Prices!E38/S4_Prices!E37-1</f>
        <v>0</v>
      </c>
      <c r="F37" s="5">
        <f>S4_Prices!F38/S4_Prices!F37-1</f>
        <v>0</v>
      </c>
      <c r="G37" s="5">
        <f>S4_Prices!G38/S4_Prices!G37-1</f>
        <v>0</v>
      </c>
      <c r="H37" s="5">
        <f>S4_Prices!H38/S4_Prices!H37-1</f>
        <v>0</v>
      </c>
      <c r="I37" s="5">
        <f>S4_Prices!I38/S4_Prices!I37-1</f>
        <v>0</v>
      </c>
      <c r="J37" s="5">
        <f>S4_Prices!J38/S4_Prices!J37-1</f>
        <v>0</v>
      </c>
      <c r="K37" s="5">
        <f>S4_Prices!K38/S4_Prices!K37-1</f>
        <v>0</v>
      </c>
      <c r="L37" s="10">
        <f>S5_Macro!E38/100</f>
        <v>0</v>
      </c>
    </row>
    <row r="38" spans="1:12">
      <c r="A38" s="8">
        <v>45322</v>
      </c>
      <c r="B38" s="5">
        <f>S4_Prices!B39/S4_Prices!B38-1</f>
        <v>0</v>
      </c>
      <c r="C38" s="5">
        <f>S4_Prices!C39/S4_Prices!C38-1</f>
        <v>0</v>
      </c>
      <c r="D38" s="5">
        <f>S4_Prices!D39/S4_Prices!D38-1</f>
        <v>0</v>
      </c>
      <c r="E38" s="5">
        <f>S4_Prices!E39/S4_Prices!E38-1</f>
        <v>0</v>
      </c>
      <c r="F38" s="5">
        <f>S4_Prices!F39/S4_Prices!F38-1</f>
        <v>0</v>
      </c>
      <c r="G38" s="5">
        <f>S4_Prices!G39/S4_Prices!G38-1</f>
        <v>0</v>
      </c>
      <c r="H38" s="5">
        <f>S4_Prices!H39/S4_Prices!H38-1</f>
        <v>0</v>
      </c>
      <c r="I38" s="5">
        <f>S4_Prices!I39/S4_Prices!I38-1</f>
        <v>0</v>
      </c>
      <c r="J38" s="5">
        <f>S4_Prices!J39/S4_Prices!J38-1</f>
        <v>0</v>
      </c>
      <c r="K38" s="5">
        <f>S4_Prices!K39/S4_Prices!K38-1</f>
        <v>0</v>
      </c>
      <c r="L38" s="10">
        <f>S5_Macro!E39/100</f>
        <v>0</v>
      </c>
    </row>
    <row r="39" spans="1:12">
      <c r="A39" s="8">
        <v>45351</v>
      </c>
      <c r="B39" s="5">
        <f>S4_Prices!B40/S4_Prices!B39-1</f>
        <v>0</v>
      </c>
      <c r="C39" s="5">
        <f>S4_Prices!C40/S4_Prices!C39-1</f>
        <v>0</v>
      </c>
      <c r="D39" s="5">
        <f>S4_Prices!D40/S4_Prices!D39-1</f>
        <v>0</v>
      </c>
      <c r="E39" s="5">
        <f>S4_Prices!E40/S4_Prices!E39-1</f>
        <v>0</v>
      </c>
      <c r="F39" s="5">
        <f>S4_Prices!F40/S4_Prices!F39-1</f>
        <v>0</v>
      </c>
      <c r="G39" s="5">
        <f>S4_Prices!G40/S4_Prices!G39-1</f>
        <v>0</v>
      </c>
      <c r="H39" s="5">
        <f>S4_Prices!H40/S4_Prices!H39-1</f>
        <v>0</v>
      </c>
      <c r="I39" s="5">
        <f>S4_Prices!I40/S4_Prices!I39-1</f>
        <v>0</v>
      </c>
      <c r="J39" s="5">
        <f>S4_Prices!J40/S4_Prices!J39-1</f>
        <v>0</v>
      </c>
      <c r="K39" s="5">
        <f>S4_Prices!K40/S4_Prices!K39-1</f>
        <v>0</v>
      </c>
      <c r="L39" s="10">
        <f>S5_Macro!E40/100</f>
        <v>0</v>
      </c>
    </row>
    <row r="40" spans="1:12">
      <c r="A40" s="8">
        <v>45382</v>
      </c>
      <c r="B40" s="5">
        <f>S4_Prices!B41/S4_Prices!B40-1</f>
        <v>0</v>
      </c>
      <c r="C40" s="5">
        <f>S4_Prices!C41/S4_Prices!C40-1</f>
        <v>0</v>
      </c>
      <c r="D40" s="5">
        <f>S4_Prices!D41/S4_Prices!D40-1</f>
        <v>0</v>
      </c>
      <c r="E40" s="5">
        <f>S4_Prices!E41/S4_Prices!E40-1</f>
        <v>0</v>
      </c>
      <c r="F40" s="5">
        <f>S4_Prices!F41/S4_Prices!F40-1</f>
        <v>0</v>
      </c>
      <c r="G40" s="5">
        <f>S4_Prices!G41/S4_Prices!G40-1</f>
        <v>0</v>
      </c>
      <c r="H40" s="5">
        <f>S4_Prices!H41/S4_Prices!H40-1</f>
        <v>0</v>
      </c>
      <c r="I40" s="5">
        <f>S4_Prices!I41/S4_Prices!I40-1</f>
        <v>0</v>
      </c>
      <c r="J40" s="5">
        <f>S4_Prices!J41/S4_Prices!J40-1</f>
        <v>0</v>
      </c>
      <c r="K40" s="5">
        <f>S4_Prices!K41/S4_Prices!K40-1</f>
        <v>0</v>
      </c>
      <c r="L40" s="10">
        <f>S5_Macro!E41/100</f>
        <v>0</v>
      </c>
    </row>
    <row r="41" spans="1:12">
      <c r="A41" s="8">
        <v>45412</v>
      </c>
      <c r="B41" s="5">
        <f>S4_Prices!B42/S4_Prices!B41-1</f>
        <v>0</v>
      </c>
      <c r="C41" s="5">
        <f>S4_Prices!C42/S4_Prices!C41-1</f>
        <v>0</v>
      </c>
      <c r="D41" s="5">
        <f>S4_Prices!D42/S4_Prices!D41-1</f>
        <v>0</v>
      </c>
      <c r="E41" s="5">
        <f>S4_Prices!E42/S4_Prices!E41-1</f>
        <v>0</v>
      </c>
      <c r="F41" s="5">
        <f>S4_Prices!F42/S4_Prices!F41-1</f>
        <v>0</v>
      </c>
      <c r="G41" s="5">
        <f>S4_Prices!G42/S4_Prices!G41-1</f>
        <v>0</v>
      </c>
      <c r="H41" s="5">
        <f>S4_Prices!H42/S4_Prices!H41-1</f>
        <v>0</v>
      </c>
      <c r="I41" s="5">
        <f>S4_Prices!I42/S4_Prices!I41-1</f>
        <v>0</v>
      </c>
      <c r="J41" s="5">
        <f>S4_Prices!J42/S4_Prices!J41-1</f>
        <v>0</v>
      </c>
      <c r="K41" s="5">
        <f>S4_Prices!K42/S4_Prices!K41-1</f>
        <v>0</v>
      </c>
      <c r="L41" s="10">
        <f>S5_Macro!E42/100</f>
        <v>0</v>
      </c>
    </row>
    <row r="42" spans="1:12">
      <c r="A42" s="8">
        <v>45443</v>
      </c>
      <c r="B42" s="5">
        <f>S4_Prices!B43/S4_Prices!B42-1</f>
        <v>0</v>
      </c>
      <c r="C42" s="5">
        <f>S4_Prices!C43/S4_Prices!C42-1</f>
        <v>0</v>
      </c>
      <c r="D42" s="5">
        <f>S4_Prices!D43/S4_Prices!D42-1</f>
        <v>0</v>
      </c>
      <c r="E42" s="5">
        <f>S4_Prices!E43/S4_Prices!E42-1</f>
        <v>0</v>
      </c>
      <c r="F42" s="5">
        <f>S4_Prices!F43/S4_Prices!F42-1</f>
        <v>0</v>
      </c>
      <c r="G42" s="5">
        <f>S4_Prices!G43/S4_Prices!G42-1</f>
        <v>0</v>
      </c>
      <c r="H42" s="5">
        <f>S4_Prices!H43/S4_Prices!H42-1</f>
        <v>0</v>
      </c>
      <c r="I42" s="5">
        <f>S4_Prices!I43/S4_Prices!I42-1</f>
        <v>0</v>
      </c>
      <c r="J42" s="5">
        <f>S4_Prices!J43/S4_Prices!J42-1</f>
        <v>0</v>
      </c>
      <c r="K42" s="5">
        <f>S4_Prices!K43/S4_Prices!K42-1</f>
        <v>0</v>
      </c>
      <c r="L42" s="10">
        <f>S5_Macro!E43/100</f>
        <v>0</v>
      </c>
    </row>
    <row r="43" spans="1:12">
      <c r="A43" s="8">
        <v>45473</v>
      </c>
      <c r="B43" s="5">
        <f>S4_Prices!B44/S4_Prices!B43-1</f>
        <v>0</v>
      </c>
      <c r="C43" s="5">
        <f>S4_Prices!C44/S4_Prices!C43-1</f>
        <v>0</v>
      </c>
      <c r="D43" s="5">
        <f>S4_Prices!D44/S4_Prices!D43-1</f>
        <v>0</v>
      </c>
      <c r="E43" s="5">
        <f>S4_Prices!E44/S4_Prices!E43-1</f>
        <v>0</v>
      </c>
      <c r="F43" s="5">
        <f>S4_Prices!F44/S4_Prices!F43-1</f>
        <v>0</v>
      </c>
      <c r="G43" s="5">
        <f>S4_Prices!G44/S4_Prices!G43-1</f>
        <v>0</v>
      </c>
      <c r="H43" s="5">
        <f>S4_Prices!H44/S4_Prices!H43-1</f>
        <v>0</v>
      </c>
      <c r="I43" s="5">
        <f>S4_Prices!I44/S4_Prices!I43-1</f>
        <v>0</v>
      </c>
      <c r="J43" s="5">
        <f>S4_Prices!J44/S4_Prices!J43-1</f>
        <v>0</v>
      </c>
      <c r="K43" s="5">
        <f>S4_Prices!K44/S4_Prices!K43-1</f>
        <v>0</v>
      </c>
      <c r="L43" s="10">
        <f>S5_Macro!E44/100</f>
        <v>0</v>
      </c>
    </row>
    <row r="44" spans="1:12">
      <c r="A44" s="8">
        <v>45504</v>
      </c>
      <c r="B44" s="5">
        <f>S4_Prices!B45/S4_Prices!B44-1</f>
        <v>0</v>
      </c>
      <c r="C44" s="5">
        <f>S4_Prices!C45/S4_Prices!C44-1</f>
        <v>0</v>
      </c>
      <c r="D44" s="5">
        <f>S4_Prices!D45/S4_Prices!D44-1</f>
        <v>0</v>
      </c>
      <c r="E44" s="5">
        <f>S4_Prices!E45/S4_Prices!E44-1</f>
        <v>0</v>
      </c>
      <c r="F44" s="5">
        <f>S4_Prices!F45/S4_Prices!F44-1</f>
        <v>0</v>
      </c>
      <c r="G44" s="5">
        <f>S4_Prices!G45/S4_Prices!G44-1</f>
        <v>0</v>
      </c>
      <c r="H44" s="5">
        <f>S4_Prices!H45/S4_Prices!H44-1</f>
        <v>0</v>
      </c>
      <c r="I44" s="5">
        <f>S4_Prices!I45/S4_Prices!I44-1</f>
        <v>0</v>
      </c>
      <c r="J44" s="5">
        <f>S4_Prices!J45/S4_Prices!J44-1</f>
        <v>0</v>
      </c>
      <c r="K44" s="5">
        <f>S4_Prices!K45/S4_Prices!K44-1</f>
        <v>0</v>
      </c>
      <c r="L44" s="10">
        <f>S5_Macro!E45/100</f>
        <v>0</v>
      </c>
    </row>
    <row r="45" spans="1:12">
      <c r="A45" s="8">
        <v>45535</v>
      </c>
      <c r="B45" s="5">
        <f>S4_Prices!B46/S4_Prices!B45-1</f>
        <v>0</v>
      </c>
      <c r="C45" s="5">
        <f>S4_Prices!C46/S4_Prices!C45-1</f>
        <v>0</v>
      </c>
      <c r="D45" s="5">
        <f>S4_Prices!D46/S4_Prices!D45-1</f>
        <v>0</v>
      </c>
      <c r="E45" s="5">
        <f>S4_Prices!E46/S4_Prices!E45-1</f>
        <v>0</v>
      </c>
      <c r="F45" s="5">
        <f>S4_Prices!F46/S4_Prices!F45-1</f>
        <v>0</v>
      </c>
      <c r="G45" s="5">
        <f>S4_Prices!G46/S4_Prices!G45-1</f>
        <v>0</v>
      </c>
      <c r="H45" s="5">
        <f>S4_Prices!H46/S4_Prices!H45-1</f>
        <v>0</v>
      </c>
      <c r="I45" s="5">
        <f>S4_Prices!I46/S4_Prices!I45-1</f>
        <v>0</v>
      </c>
      <c r="J45" s="5">
        <f>S4_Prices!J46/S4_Prices!J45-1</f>
        <v>0</v>
      </c>
      <c r="K45" s="5">
        <f>S4_Prices!K46/S4_Prices!K45-1</f>
        <v>0</v>
      </c>
      <c r="L45" s="10">
        <f>S5_Macro!E46/100</f>
        <v>0</v>
      </c>
    </row>
    <row r="46" spans="1:12">
      <c r="A46" s="8">
        <v>45565</v>
      </c>
      <c r="B46" s="5">
        <f>S4_Prices!B47/S4_Prices!B46-1</f>
        <v>0</v>
      </c>
      <c r="C46" s="5">
        <f>S4_Prices!C47/S4_Prices!C46-1</f>
        <v>0</v>
      </c>
      <c r="D46" s="5">
        <f>S4_Prices!D47/S4_Prices!D46-1</f>
        <v>0</v>
      </c>
      <c r="E46" s="5">
        <f>S4_Prices!E47/S4_Prices!E46-1</f>
        <v>0</v>
      </c>
      <c r="F46" s="5">
        <f>S4_Prices!F47/S4_Prices!F46-1</f>
        <v>0</v>
      </c>
      <c r="G46" s="5">
        <f>S4_Prices!G47/S4_Prices!G46-1</f>
        <v>0</v>
      </c>
      <c r="H46" s="5">
        <f>S4_Prices!H47/S4_Prices!H46-1</f>
        <v>0</v>
      </c>
      <c r="I46" s="5">
        <f>S4_Prices!I47/S4_Prices!I46-1</f>
        <v>0</v>
      </c>
      <c r="J46" s="5">
        <f>S4_Prices!J47/S4_Prices!J46-1</f>
        <v>0</v>
      </c>
      <c r="K46" s="5">
        <f>S4_Prices!K47/S4_Prices!K46-1</f>
        <v>0</v>
      </c>
      <c r="L46" s="10">
        <f>S5_Macro!E47/100</f>
        <v>0</v>
      </c>
    </row>
    <row r="47" spans="1:12">
      <c r="A47" s="8">
        <v>45596</v>
      </c>
      <c r="B47" s="5">
        <f>S4_Prices!B48/S4_Prices!B47-1</f>
        <v>0</v>
      </c>
      <c r="C47" s="5">
        <f>S4_Prices!C48/S4_Prices!C47-1</f>
        <v>0</v>
      </c>
      <c r="D47" s="5">
        <f>S4_Prices!D48/S4_Prices!D47-1</f>
        <v>0</v>
      </c>
      <c r="E47" s="5">
        <f>S4_Prices!E48/S4_Prices!E47-1</f>
        <v>0</v>
      </c>
      <c r="F47" s="5">
        <f>S4_Prices!F48/S4_Prices!F47-1</f>
        <v>0</v>
      </c>
      <c r="G47" s="5">
        <f>S4_Prices!G48/S4_Prices!G47-1</f>
        <v>0</v>
      </c>
      <c r="H47" s="5">
        <f>S4_Prices!H48/S4_Prices!H47-1</f>
        <v>0</v>
      </c>
      <c r="I47" s="5">
        <f>S4_Prices!I48/S4_Prices!I47-1</f>
        <v>0</v>
      </c>
      <c r="J47" s="5">
        <f>S4_Prices!J48/S4_Prices!J47-1</f>
        <v>0</v>
      </c>
      <c r="K47" s="5">
        <f>S4_Prices!K48/S4_Prices!K47-1</f>
        <v>0</v>
      </c>
      <c r="L47" s="10">
        <f>S5_Macro!E48/100</f>
        <v>0</v>
      </c>
    </row>
    <row r="48" spans="1:12">
      <c r="A48" s="8">
        <v>45626</v>
      </c>
      <c r="B48" s="5">
        <f>S4_Prices!B49/S4_Prices!B48-1</f>
        <v>0</v>
      </c>
      <c r="C48" s="5">
        <f>S4_Prices!C49/S4_Prices!C48-1</f>
        <v>0</v>
      </c>
      <c r="D48" s="5">
        <f>S4_Prices!D49/S4_Prices!D48-1</f>
        <v>0</v>
      </c>
      <c r="E48" s="5">
        <f>S4_Prices!E49/S4_Prices!E48-1</f>
        <v>0</v>
      </c>
      <c r="F48" s="5">
        <f>S4_Prices!F49/S4_Prices!F48-1</f>
        <v>0</v>
      </c>
      <c r="G48" s="5">
        <f>S4_Prices!G49/S4_Prices!G48-1</f>
        <v>0</v>
      </c>
      <c r="H48" s="5">
        <f>S4_Prices!H49/S4_Prices!H48-1</f>
        <v>0</v>
      </c>
      <c r="I48" s="5">
        <f>S4_Prices!I49/S4_Prices!I48-1</f>
        <v>0</v>
      </c>
      <c r="J48" s="5">
        <f>S4_Prices!J49/S4_Prices!J48-1</f>
        <v>0</v>
      </c>
      <c r="K48" s="5">
        <f>S4_Prices!K49/S4_Prices!K48-1</f>
        <v>0</v>
      </c>
      <c r="L48" s="10">
        <f>S5_Macro!E49/100</f>
        <v>0</v>
      </c>
    </row>
    <row r="49" spans="1:12">
      <c r="A49" s="8">
        <v>45657</v>
      </c>
      <c r="B49" s="5">
        <f>S4_Prices!B50/S4_Prices!B49-1</f>
        <v>0</v>
      </c>
      <c r="C49" s="5">
        <f>S4_Prices!C50/S4_Prices!C49-1</f>
        <v>0</v>
      </c>
      <c r="D49" s="5">
        <f>S4_Prices!D50/S4_Prices!D49-1</f>
        <v>0</v>
      </c>
      <c r="E49" s="5">
        <f>S4_Prices!E50/S4_Prices!E49-1</f>
        <v>0</v>
      </c>
      <c r="F49" s="5">
        <f>S4_Prices!F50/S4_Prices!F49-1</f>
        <v>0</v>
      </c>
      <c r="G49" s="5">
        <f>S4_Prices!G50/S4_Prices!G49-1</f>
        <v>0</v>
      </c>
      <c r="H49" s="5">
        <f>S4_Prices!H50/S4_Prices!H49-1</f>
        <v>0</v>
      </c>
      <c r="I49" s="5">
        <f>S4_Prices!I50/S4_Prices!I49-1</f>
        <v>0</v>
      </c>
      <c r="J49" s="5">
        <f>S4_Prices!J50/S4_Prices!J49-1</f>
        <v>0</v>
      </c>
      <c r="K49" s="5">
        <f>S4_Prices!K50/S4_Prices!K49-1</f>
        <v>0</v>
      </c>
      <c r="L49" s="10">
        <f>S5_Macro!E50/100</f>
        <v>0</v>
      </c>
    </row>
    <row r="50" spans="1:12">
      <c r="A50" s="8">
        <v>45688</v>
      </c>
      <c r="B50" s="5">
        <f>S4_Prices!B51/S4_Prices!B50-1</f>
        <v>0</v>
      </c>
      <c r="C50" s="5">
        <f>S4_Prices!C51/S4_Prices!C50-1</f>
        <v>0</v>
      </c>
      <c r="D50" s="5">
        <f>S4_Prices!D51/S4_Prices!D50-1</f>
        <v>0</v>
      </c>
      <c r="E50" s="5">
        <f>S4_Prices!E51/S4_Prices!E50-1</f>
        <v>0</v>
      </c>
      <c r="F50" s="5">
        <f>S4_Prices!F51/S4_Prices!F50-1</f>
        <v>0</v>
      </c>
      <c r="G50" s="5">
        <f>S4_Prices!G51/S4_Prices!G50-1</f>
        <v>0</v>
      </c>
      <c r="H50" s="5">
        <f>S4_Prices!H51/S4_Prices!H50-1</f>
        <v>0</v>
      </c>
      <c r="I50" s="5">
        <f>S4_Prices!I51/S4_Prices!I50-1</f>
        <v>0</v>
      </c>
      <c r="J50" s="5">
        <f>S4_Prices!J51/S4_Prices!J50-1</f>
        <v>0</v>
      </c>
      <c r="K50" s="5">
        <f>S4_Prices!K51/S4_Prices!K50-1</f>
        <v>0</v>
      </c>
      <c r="L50" s="10">
        <f>S5_Macro!E51/100</f>
        <v>0</v>
      </c>
    </row>
    <row r="51" spans="1:12">
      <c r="A51" s="8">
        <v>45716</v>
      </c>
      <c r="B51" s="5">
        <f>S4_Prices!B52/S4_Prices!B51-1</f>
        <v>0</v>
      </c>
      <c r="C51" s="5">
        <f>S4_Prices!C52/S4_Prices!C51-1</f>
        <v>0</v>
      </c>
      <c r="D51" s="5">
        <f>S4_Prices!D52/S4_Prices!D51-1</f>
        <v>0</v>
      </c>
      <c r="E51" s="5">
        <f>S4_Prices!E52/S4_Prices!E51-1</f>
        <v>0</v>
      </c>
      <c r="F51" s="5">
        <f>S4_Prices!F52/S4_Prices!F51-1</f>
        <v>0</v>
      </c>
      <c r="G51" s="5">
        <f>S4_Prices!G52/S4_Prices!G51-1</f>
        <v>0</v>
      </c>
      <c r="H51" s="5">
        <f>S4_Prices!H52/S4_Prices!H51-1</f>
        <v>0</v>
      </c>
      <c r="I51" s="5">
        <f>S4_Prices!I52/S4_Prices!I51-1</f>
        <v>0</v>
      </c>
      <c r="J51" s="5">
        <f>S4_Prices!J52/S4_Prices!J51-1</f>
        <v>0</v>
      </c>
      <c r="K51" s="5">
        <f>S4_Prices!K52/S4_Prices!K51-1</f>
        <v>0</v>
      </c>
      <c r="L51" s="10">
        <f>S5_Macro!E52/100</f>
        <v>0</v>
      </c>
    </row>
    <row r="52" spans="1:12">
      <c r="A52" s="8">
        <v>45747</v>
      </c>
      <c r="B52" s="5">
        <f>S4_Prices!B53/S4_Prices!B52-1</f>
        <v>0</v>
      </c>
      <c r="C52" s="5">
        <f>S4_Prices!C53/S4_Prices!C52-1</f>
        <v>0</v>
      </c>
      <c r="D52" s="5">
        <f>S4_Prices!D53/S4_Prices!D52-1</f>
        <v>0</v>
      </c>
      <c r="E52" s="5">
        <f>S4_Prices!E53/S4_Prices!E52-1</f>
        <v>0</v>
      </c>
      <c r="F52" s="5">
        <f>S4_Prices!F53/S4_Prices!F52-1</f>
        <v>0</v>
      </c>
      <c r="G52" s="5">
        <f>S4_Prices!G53/S4_Prices!G52-1</f>
        <v>0</v>
      </c>
      <c r="H52" s="5">
        <f>S4_Prices!H53/S4_Prices!H52-1</f>
        <v>0</v>
      </c>
      <c r="I52" s="5">
        <f>S4_Prices!I53/S4_Prices!I52-1</f>
        <v>0</v>
      </c>
      <c r="J52" s="5">
        <f>S4_Prices!J53/S4_Prices!J52-1</f>
        <v>0</v>
      </c>
      <c r="K52" s="5">
        <f>S4_Prices!K53/S4_Prices!K52-1</f>
        <v>0</v>
      </c>
      <c r="L52" s="10">
        <f>S5_Macro!E53/100</f>
        <v>0</v>
      </c>
    </row>
    <row r="53" spans="1:12">
      <c r="A53" s="8">
        <v>45777</v>
      </c>
      <c r="B53" s="5">
        <f>S4_Prices!B54/S4_Prices!B53-1</f>
        <v>0</v>
      </c>
      <c r="C53" s="5">
        <f>S4_Prices!C54/S4_Prices!C53-1</f>
        <v>0</v>
      </c>
      <c r="D53" s="5">
        <f>S4_Prices!D54/S4_Prices!D53-1</f>
        <v>0</v>
      </c>
      <c r="E53" s="5">
        <f>S4_Prices!E54/S4_Prices!E53-1</f>
        <v>0</v>
      </c>
      <c r="F53" s="5">
        <f>S4_Prices!F54/S4_Prices!F53-1</f>
        <v>0</v>
      </c>
      <c r="G53" s="5">
        <f>S4_Prices!G54/S4_Prices!G53-1</f>
        <v>0</v>
      </c>
      <c r="H53" s="5">
        <f>S4_Prices!H54/S4_Prices!H53-1</f>
        <v>0</v>
      </c>
      <c r="I53" s="5">
        <f>S4_Prices!I54/S4_Prices!I53-1</f>
        <v>0</v>
      </c>
      <c r="J53" s="5">
        <f>S4_Prices!J54/S4_Prices!J53-1</f>
        <v>0</v>
      </c>
      <c r="K53" s="5">
        <f>S4_Prices!K54/S4_Prices!K53-1</f>
        <v>0</v>
      </c>
      <c r="L53" s="10">
        <f>S5_Macro!E54/100</f>
        <v>0</v>
      </c>
    </row>
    <row r="54" spans="1:12">
      <c r="A54" s="8">
        <v>45808</v>
      </c>
      <c r="B54" s="5">
        <f>S4_Prices!B55/S4_Prices!B54-1</f>
        <v>0</v>
      </c>
      <c r="C54" s="5">
        <f>S4_Prices!C55/S4_Prices!C54-1</f>
        <v>0</v>
      </c>
      <c r="D54" s="5">
        <f>S4_Prices!D55/S4_Prices!D54-1</f>
        <v>0</v>
      </c>
      <c r="E54" s="5">
        <f>S4_Prices!E55/S4_Prices!E54-1</f>
        <v>0</v>
      </c>
      <c r="F54" s="5">
        <f>S4_Prices!F55/S4_Prices!F54-1</f>
        <v>0</v>
      </c>
      <c r="G54" s="5">
        <f>S4_Prices!G55/S4_Prices!G54-1</f>
        <v>0</v>
      </c>
      <c r="H54" s="5">
        <f>S4_Prices!H55/S4_Prices!H54-1</f>
        <v>0</v>
      </c>
      <c r="I54" s="5">
        <f>S4_Prices!I55/S4_Prices!I54-1</f>
        <v>0</v>
      </c>
      <c r="J54" s="5">
        <f>S4_Prices!J55/S4_Prices!J54-1</f>
        <v>0</v>
      </c>
      <c r="K54" s="5">
        <f>S4_Prices!K55/S4_Prices!K54-1</f>
        <v>0</v>
      </c>
      <c r="L54" s="10">
        <f>S5_Macro!E55/100</f>
        <v>0</v>
      </c>
    </row>
    <row r="55" spans="1:12">
      <c r="A55" s="8">
        <v>45838</v>
      </c>
      <c r="B55" s="5">
        <f>S4_Prices!B56/S4_Prices!B55-1</f>
        <v>0</v>
      </c>
      <c r="C55" s="5">
        <f>S4_Prices!C56/S4_Prices!C55-1</f>
        <v>0</v>
      </c>
      <c r="D55" s="5">
        <f>S4_Prices!D56/S4_Prices!D55-1</f>
        <v>0</v>
      </c>
      <c r="E55" s="5">
        <f>S4_Prices!E56/S4_Prices!E55-1</f>
        <v>0</v>
      </c>
      <c r="F55" s="5">
        <f>S4_Prices!F56/S4_Prices!F55-1</f>
        <v>0</v>
      </c>
      <c r="G55" s="5">
        <f>S4_Prices!G56/S4_Prices!G55-1</f>
        <v>0</v>
      </c>
      <c r="H55" s="5">
        <f>S4_Prices!H56/S4_Prices!H55-1</f>
        <v>0</v>
      </c>
      <c r="I55" s="5">
        <f>S4_Prices!I56/S4_Prices!I55-1</f>
        <v>0</v>
      </c>
      <c r="J55" s="5">
        <f>S4_Prices!J56/S4_Prices!J55-1</f>
        <v>0</v>
      </c>
      <c r="K55" s="5">
        <f>S4_Prices!K56/S4_Prices!K55-1</f>
        <v>0</v>
      </c>
      <c r="L55" s="10">
        <f>S5_Macro!E56/100</f>
        <v>0</v>
      </c>
    </row>
    <row r="56" spans="1:12">
      <c r="A56" s="8">
        <v>45869</v>
      </c>
      <c r="B56" s="5">
        <f>S4_Prices!B57/S4_Prices!B56-1</f>
        <v>0</v>
      </c>
      <c r="C56" s="5">
        <f>S4_Prices!C57/S4_Prices!C56-1</f>
        <v>0</v>
      </c>
      <c r="D56" s="5">
        <f>S4_Prices!D57/S4_Prices!D56-1</f>
        <v>0</v>
      </c>
      <c r="E56" s="5">
        <f>S4_Prices!E57/S4_Prices!E56-1</f>
        <v>0</v>
      </c>
      <c r="F56" s="5">
        <f>S4_Prices!F57/S4_Prices!F56-1</f>
        <v>0</v>
      </c>
      <c r="G56" s="5">
        <f>S4_Prices!G57/S4_Prices!G56-1</f>
        <v>0</v>
      </c>
      <c r="H56" s="5">
        <f>S4_Prices!H57/S4_Prices!H56-1</f>
        <v>0</v>
      </c>
      <c r="I56" s="5">
        <f>S4_Prices!I57/S4_Prices!I56-1</f>
        <v>0</v>
      </c>
      <c r="J56" s="5">
        <f>S4_Prices!J57/S4_Prices!J56-1</f>
        <v>0</v>
      </c>
      <c r="K56" s="5">
        <f>S4_Prices!K57/S4_Prices!K56-1</f>
        <v>0</v>
      </c>
      <c r="L56" s="10">
        <f>S5_Macro!E57/100</f>
        <v>0</v>
      </c>
    </row>
    <row r="57" spans="1:12">
      <c r="A57" s="8">
        <v>45900</v>
      </c>
      <c r="B57" s="5">
        <f>S4_Prices!B58/S4_Prices!B57-1</f>
        <v>0</v>
      </c>
      <c r="C57" s="5">
        <f>S4_Prices!C58/S4_Prices!C57-1</f>
        <v>0</v>
      </c>
      <c r="D57" s="5">
        <f>S4_Prices!D58/S4_Prices!D57-1</f>
        <v>0</v>
      </c>
      <c r="E57" s="5">
        <f>S4_Prices!E58/S4_Prices!E57-1</f>
        <v>0</v>
      </c>
      <c r="F57" s="5">
        <f>S4_Prices!F58/S4_Prices!F57-1</f>
        <v>0</v>
      </c>
      <c r="G57" s="5">
        <f>S4_Prices!G58/S4_Prices!G57-1</f>
        <v>0</v>
      </c>
      <c r="H57" s="5">
        <f>S4_Prices!H58/S4_Prices!H57-1</f>
        <v>0</v>
      </c>
      <c r="I57" s="5">
        <f>S4_Prices!I58/S4_Prices!I57-1</f>
        <v>0</v>
      </c>
      <c r="J57" s="5">
        <f>S4_Prices!J58/S4_Prices!J57-1</f>
        <v>0</v>
      </c>
      <c r="K57" s="5">
        <f>S4_Prices!K58/S4_Prices!K57-1</f>
        <v>0</v>
      </c>
      <c r="L57" s="10">
        <f>S5_Macro!E58/100</f>
        <v>0</v>
      </c>
    </row>
    <row r="58" spans="1:12">
      <c r="A58" s="8">
        <v>45930</v>
      </c>
      <c r="B58" s="5">
        <f>S4_Prices!B59/S4_Prices!B58-1</f>
        <v>0</v>
      </c>
      <c r="C58" s="5">
        <f>S4_Prices!C59/S4_Prices!C58-1</f>
        <v>0</v>
      </c>
      <c r="D58" s="5">
        <f>S4_Prices!D59/S4_Prices!D58-1</f>
        <v>0</v>
      </c>
      <c r="E58" s="5">
        <f>S4_Prices!E59/S4_Prices!E58-1</f>
        <v>0</v>
      </c>
      <c r="F58" s="5">
        <f>S4_Prices!F59/S4_Prices!F58-1</f>
        <v>0</v>
      </c>
      <c r="G58" s="5">
        <f>S4_Prices!G59/S4_Prices!G58-1</f>
        <v>0</v>
      </c>
      <c r="H58" s="5">
        <f>S4_Prices!H59/S4_Prices!H58-1</f>
        <v>0</v>
      </c>
      <c r="I58" s="5">
        <f>S4_Prices!I59/S4_Prices!I58-1</f>
        <v>0</v>
      </c>
      <c r="J58" s="5">
        <f>S4_Prices!J59/S4_Prices!J58-1</f>
        <v>0</v>
      </c>
      <c r="K58" s="5">
        <f>S4_Prices!K59/S4_Prices!K58-1</f>
        <v>0</v>
      </c>
      <c r="L58" s="10">
        <f>S5_Macro!E59/100</f>
        <v>0</v>
      </c>
    </row>
    <row r="59" spans="1:12">
      <c r="A59" s="8">
        <v>45961</v>
      </c>
      <c r="B59" s="5">
        <f>S4_Prices!B60/S4_Prices!B59-1</f>
        <v>0</v>
      </c>
      <c r="C59" s="5">
        <f>S4_Prices!C60/S4_Prices!C59-1</f>
        <v>0</v>
      </c>
      <c r="D59" s="5">
        <f>S4_Prices!D60/S4_Prices!D59-1</f>
        <v>0</v>
      </c>
      <c r="E59" s="5">
        <f>S4_Prices!E60/S4_Prices!E59-1</f>
        <v>0</v>
      </c>
      <c r="F59" s="5">
        <f>S4_Prices!F60/S4_Prices!F59-1</f>
        <v>0</v>
      </c>
      <c r="G59" s="5">
        <f>S4_Prices!G60/S4_Prices!G59-1</f>
        <v>0</v>
      </c>
      <c r="H59" s="5">
        <f>S4_Prices!H60/S4_Prices!H59-1</f>
        <v>0</v>
      </c>
      <c r="I59" s="5">
        <f>S4_Prices!I60/S4_Prices!I59-1</f>
        <v>0</v>
      </c>
      <c r="J59" s="5">
        <f>S4_Prices!J60/S4_Prices!J59-1</f>
        <v>0</v>
      </c>
      <c r="K59" s="5">
        <f>S4_Prices!K60/S4_Prices!K59-1</f>
        <v>0</v>
      </c>
      <c r="L59" s="10">
        <f>S5_Macro!E60/100</f>
        <v>0</v>
      </c>
    </row>
    <row r="60" spans="1:12">
      <c r="A60" s="8">
        <v>45991</v>
      </c>
      <c r="B60" s="5">
        <f>S4_Prices!B61/S4_Prices!B60-1</f>
        <v>0</v>
      </c>
      <c r="C60" s="5">
        <f>S4_Prices!C61/S4_Prices!C60-1</f>
        <v>0</v>
      </c>
      <c r="D60" s="5">
        <f>S4_Prices!D61/S4_Prices!D60-1</f>
        <v>0</v>
      </c>
      <c r="E60" s="5">
        <f>S4_Prices!E61/S4_Prices!E60-1</f>
        <v>0</v>
      </c>
      <c r="F60" s="5">
        <f>S4_Prices!F61/S4_Prices!F60-1</f>
        <v>0</v>
      </c>
      <c r="G60" s="5">
        <f>S4_Prices!G61/S4_Prices!G60-1</f>
        <v>0</v>
      </c>
      <c r="H60" s="5">
        <f>S4_Prices!H61/S4_Prices!H60-1</f>
        <v>0</v>
      </c>
      <c r="I60" s="5">
        <f>S4_Prices!I61/S4_Prices!I60-1</f>
        <v>0</v>
      </c>
      <c r="J60" s="5">
        <f>S4_Prices!J61/S4_Prices!J60-1</f>
        <v>0</v>
      </c>
      <c r="K60" s="5">
        <f>S4_Prices!K61/S4_Prices!K60-1</f>
        <v>0</v>
      </c>
      <c r="L60" s="10">
        <f>S5_Macro!E61/100</f>
        <v>0</v>
      </c>
    </row>
    <row r="61" spans="1:12">
      <c r="A61" s="8">
        <v>46022</v>
      </c>
      <c r="B61" s="5">
        <f>S4_Prices!B62/S4_Prices!B61-1</f>
        <v>0</v>
      </c>
      <c r="C61" s="5">
        <f>S4_Prices!C62/S4_Prices!C61-1</f>
        <v>0</v>
      </c>
      <c r="D61" s="5">
        <f>S4_Prices!D62/S4_Prices!D61-1</f>
        <v>0</v>
      </c>
      <c r="E61" s="5">
        <f>S4_Prices!E62/S4_Prices!E61-1</f>
        <v>0</v>
      </c>
      <c r="F61" s="5">
        <f>S4_Prices!F62/S4_Prices!F61-1</f>
        <v>0</v>
      </c>
      <c r="G61" s="5">
        <f>S4_Prices!G62/S4_Prices!G61-1</f>
        <v>0</v>
      </c>
      <c r="H61" s="5">
        <f>S4_Prices!H62/S4_Prices!H61-1</f>
        <v>0</v>
      </c>
      <c r="I61" s="5">
        <f>S4_Prices!I62/S4_Prices!I61-1</f>
        <v>0</v>
      </c>
      <c r="J61" s="5">
        <f>S4_Prices!J62/S4_Prices!J61-1</f>
        <v>0</v>
      </c>
      <c r="K61" s="5">
        <f>S4_Prices!K62/S4_Prices!K61-1</f>
        <v>0</v>
      </c>
      <c r="L61" s="10">
        <f>S5_Macro!E62/100</f>
        <v>0</v>
      </c>
    </row>
    <row r="64" spans="1:12">
      <c r="A64" s="2" t="s">
        <v>26</v>
      </c>
      <c r="B64" s="5">
        <f>AVERAGE(B2:B49)*12</f>
        <v>0</v>
      </c>
      <c r="C64" s="5">
        <f>AVERAGE(C2:C49)*12</f>
        <v>0</v>
      </c>
      <c r="D64" s="5">
        <f>AVERAGE(D2:D49)*12</f>
        <v>0</v>
      </c>
      <c r="E64" s="5">
        <f>AVERAGE(E2:E49)*12</f>
        <v>0</v>
      </c>
      <c r="F64" s="5">
        <f>AVERAGE(F2:F49)*12</f>
        <v>0</v>
      </c>
      <c r="G64" s="5">
        <f>AVERAGE(G2:G49)*12</f>
        <v>0</v>
      </c>
      <c r="H64" s="5">
        <f>AVERAGE(H2:H49)*12</f>
        <v>0</v>
      </c>
      <c r="I64" s="5">
        <f>AVERAGE(I2:I49)*12</f>
        <v>0</v>
      </c>
      <c r="J64" s="5">
        <f>AVERAGE(J2:J49)*12</f>
        <v>0</v>
      </c>
      <c r="K64" s="5">
        <f>AVERAGE(K2:K49)*12</f>
        <v>0</v>
      </c>
    </row>
    <row r="65" spans="1:11">
      <c r="A65" s="2" t="s">
        <v>27</v>
      </c>
      <c r="B65" s="5">
        <f>_xlfn.STDEV.S(B2:B49)*SQRT(12)</f>
        <v>0</v>
      </c>
      <c r="C65" s="5">
        <f>_xlfn.STDEV.S(C2:C49)*SQRT(12)</f>
        <v>0</v>
      </c>
      <c r="D65" s="5">
        <f>_xlfn.STDEV.S(D2:D49)*SQRT(12)</f>
        <v>0</v>
      </c>
      <c r="E65" s="5">
        <f>_xlfn.STDEV.S(E2:E49)*SQRT(12)</f>
        <v>0</v>
      </c>
      <c r="F65" s="5">
        <f>_xlfn.STDEV.S(F2:F49)*SQRT(12)</f>
        <v>0</v>
      </c>
      <c r="G65" s="5">
        <f>_xlfn.STDEV.S(G2:G49)*SQRT(12)</f>
        <v>0</v>
      </c>
      <c r="H65" s="5">
        <f>_xlfn.STDEV.S(H2:H49)*SQRT(12)</f>
        <v>0</v>
      </c>
      <c r="I65" s="5">
        <f>_xlfn.STDEV.S(I2:I49)*SQRT(12)</f>
        <v>0</v>
      </c>
      <c r="J65" s="5">
        <f>_xlfn.STDEV.S(J2:J49)*SQRT(12)</f>
        <v>0</v>
      </c>
      <c r="K65" s="5">
        <f>_xlfn.STDEV.S(K2:K49)*SQRT(12)</f>
        <v>0</v>
      </c>
    </row>
    <row r="66" spans="1:11">
      <c r="A66" s="2" t="s">
        <v>28</v>
      </c>
      <c r="B66" s="10">
        <f>AVERAGE(L2:L49)*12</f>
        <v>0</v>
      </c>
    </row>
    <row r="67" spans="1:11">
      <c r="A67" s="2" t="s">
        <v>29</v>
      </c>
      <c r="B67" s="6">
        <f>(B64-$B$66)/B65</f>
        <v>0</v>
      </c>
      <c r="C67" s="6">
        <f>(C64-$B$66)/C65</f>
        <v>0</v>
      </c>
      <c r="D67" s="6">
        <f>(D64-$B$66)/D65</f>
        <v>0</v>
      </c>
      <c r="E67" s="6">
        <f>(E64-$B$66)/E65</f>
        <v>0</v>
      </c>
      <c r="F67" s="6">
        <f>(F64-$B$66)/F65</f>
        <v>0</v>
      </c>
      <c r="G67" s="6">
        <f>(G64-$B$66)/G65</f>
        <v>0</v>
      </c>
      <c r="H67" s="6">
        <f>(H64-$B$66)/H65</f>
        <v>0</v>
      </c>
      <c r="I67" s="6">
        <f>(I64-$B$66)/I65</f>
        <v>0</v>
      </c>
      <c r="J67" s="6">
        <f>(J64-$B$66)/J65</f>
        <v>0</v>
      </c>
      <c r="K67" s="6">
        <f>(K64-$B$66)/K65</f>
        <v>0</v>
      </c>
    </row>
    <row r="69" spans="1:11">
      <c r="A69" s="2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4" t="s">
        <v>31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4" t="s">
        <v>1</v>
      </c>
      <c r="B2" s="6">
        <f>_xlfn.COVARIANCE.S(INDEX(S6_Returns!$B$2:$K$49,0,ROW()-1),INDEX(S6_Returns!$B$2:$K$49,0,COLUMN()-1))*12</f>
        <v>0</v>
      </c>
      <c r="C2" s="6">
        <f>_xlfn.COVARIANCE.S(INDEX(S6_Returns!$B$2:$K$49,0,ROW()-1),INDEX(S6_Returns!$B$2:$K$49,0,COLUMN()-1))*12</f>
        <v>0</v>
      </c>
      <c r="D2" s="6">
        <f>_xlfn.COVARIANCE.S(INDEX(S6_Returns!$B$2:$K$49,0,ROW()-1),INDEX(S6_Returns!$B$2:$K$49,0,COLUMN()-1))*12</f>
        <v>0</v>
      </c>
      <c r="E2" s="6">
        <f>_xlfn.COVARIANCE.S(INDEX(S6_Returns!$B$2:$K$49,0,ROW()-1),INDEX(S6_Returns!$B$2:$K$49,0,COLUMN()-1))*12</f>
        <v>0</v>
      </c>
      <c r="F2" s="6">
        <f>_xlfn.COVARIANCE.S(INDEX(S6_Returns!$B$2:$K$49,0,ROW()-1),INDEX(S6_Returns!$B$2:$K$49,0,COLUMN()-1))*12</f>
        <v>0</v>
      </c>
      <c r="G2" s="6">
        <f>_xlfn.COVARIANCE.S(INDEX(S6_Returns!$B$2:$K$49,0,ROW()-1),INDEX(S6_Returns!$B$2:$K$49,0,COLUMN()-1))*12</f>
        <v>0</v>
      </c>
      <c r="H2" s="6">
        <f>_xlfn.COVARIANCE.S(INDEX(S6_Returns!$B$2:$K$49,0,ROW()-1),INDEX(S6_Returns!$B$2:$K$49,0,COLUMN()-1))*12</f>
        <v>0</v>
      </c>
      <c r="I2" s="6">
        <f>_xlfn.COVARIANCE.S(INDEX(S6_Returns!$B$2:$K$49,0,ROW()-1),INDEX(S6_Returns!$B$2:$K$49,0,COLUMN()-1))*12</f>
        <v>0</v>
      </c>
      <c r="J2" s="6">
        <f>_xlfn.COVARIANCE.S(INDEX(S6_Returns!$B$2:$K$49,0,ROW()-1),INDEX(S6_Returns!$B$2:$K$49,0,COLUMN()-1))*12</f>
        <v>0</v>
      </c>
      <c r="K2" s="6">
        <f>_xlfn.COVARIANCE.S(INDEX(S6_Returns!$B$2:$K$49,0,ROW()-1),INDEX(S6_Returns!$B$2:$K$49,0,COLUMN()-1))*12</f>
        <v>0</v>
      </c>
    </row>
    <row r="3" spans="1:11">
      <c r="A3" s="4" t="s">
        <v>2</v>
      </c>
      <c r="B3" s="6">
        <f>_xlfn.COVARIANCE.S(INDEX(S6_Returns!$B$2:$K$49,0,ROW()-1),INDEX(S6_Returns!$B$2:$K$49,0,COLUMN()-1))*12</f>
        <v>0</v>
      </c>
      <c r="C3" s="6">
        <f>_xlfn.COVARIANCE.S(INDEX(S6_Returns!$B$2:$K$49,0,ROW()-1),INDEX(S6_Returns!$B$2:$K$49,0,COLUMN()-1))*12</f>
        <v>0</v>
      </c>
      <c r="D3" s="6">
        <f>_xlfn.COVARIANCE.S(INDEX(S6_Returns!$B$2:$K$49,0,ROW()-1),INDEX(S6_Returns!$B$2:$K$49,0,COLUMN()-1))*12</f>
        <v>0</v>
      </c>
      <c r="E3" s="6">
        <f>_xlfn.COVARIANCE.S(INDEX(S6_Returns!$B$2:$K$49,0,ROW()-1),INDEX(S6_Returns!$B$2:$K$49,0,COLUMN()-1))*12</f>
        <v>0</v>
      </c>
      <c r="F3" s="6">
        <f>_xlfn.COVARIANCE.S(INDEX(S6_Returns!$B$2:$K$49,0,ROW()-1),INDEX(S6_Returns!$B$2:$K$49,0,COLUMN()-1))*12</f>
        <v>0</v>
      </c>
      <c r="G3" s="6">
        <f>_xlfn.COVARIANCE.S(INDEX(S6_Returns!$B$2:$K$49,0,ROW()-1),INDEX(S6_Returns!$B$2:$K$49,0,COLUMN()-1))*12</f>
        <v>0</v>
      </c>
      <c r="H3" s="6">
        <f>_xlfn.COVARIANCE.S(INDEX(S6_Returns!$B$2:$K$49,0,ROW()-1),INDEX(S6_Returns!$B$2:$K$49,0,COLUMN()-1))*12</f>
        <v>0</v>
      </c>
      <c r="I3" s="6">
        <f>_xlfn.COVARIANCE.S(INDEX(S6_Returns!$B$2:$K$49,0,ROW()-1),INDEX(S6_Returns!$B$2:$K$49,0,COLUMN()-1))*12</f>
        <v>0</v>
      </c>
      <c r="J3" s="6">
        <f>_xlfn.COVARIANCE.S(INDEX(S6_Returns!$B$2:$K$49,0,ROW()-1),INDEX(S6_Returns!$B$2:$K$49,0,COLUMN()-1))*12</f>
        <v>0</v>
      </c>
      <c r="K3" s="6">
        <f>_xlfn.COVARIANCE.S(INDEX(S6_Returns!$B$2:$K$49,0,ROW()-1),INDEX(S6_Returns!$B$2:$K$49,0,COLUMN()-1))*12</f>
        <v>0</v>
      </c>
    </row>
    <row r="4" spans="1:11">
      <c r="A4" s="4" t="s">
        <v>3</v>
      </c>
      <c r="B4" s="6">
        <f>_xlfn.COVARIANCE.S(INDEX(S6_Returns!$B$2:$K$49,0,ROW()-1),INDEX(S6_Returns!$B$2:$K$49,0,COLUMN()-1))*12</f>
        <v>0</v>
      </c>
      <c r="C4" s="6">
        <f>_xlfn.COVARIANCE.S(INDEX(S6_Returns!$B$2:$K$49,0,ROW()-1),INDEX(S6_Returns!$B$2:$K$49,0,COLUMN()-1))*12</f>
        <v>0</v>
      </c>
      <c r="D4" s="6">
        <f>_xlfn.COVARIANCE.S(INDEX(S6_Returns!$B$2:$K$49,0,ROW()-1),INDEX(S6_Returns!$B$2:$K$49,0,COLUMN()-1))*12</f>
        <v>0</v>
      </c>
      <c r="E4" s="6">
        <f>_xlfn.COVARIANCE.S(INDEX(S6_Returns!$B$2:$K$49,0,ROW()-1),INDEX(S6_Returns!$B$2:$K$49,0,COLUMN()-1))*12</f>
        <v>0</v>
      </c>
      <c r="F4" s="6">
        <f>_xlfn.COVARIANCE.S(INDEX(S6_Returns!$B$2:$K$49,0,ROW()-1),INDEX(S6_Returns!$B$2:$K$49,0,COLUMN()-1))*12</f>
        <v>0</v>
      </c>
      <c r="G4" s="6">
        <f>_xlfn.COVARIANCE.S(INDEX(S6_Returns!$B$2:$K$49,0,ROW()-1),INDEX(S6_Returns!$B$2:$K$49,0,COLUMN()-1))*12</f>
        <v>0</v>
      </c>
      <c r="H4" s="6">
        <f>_xlfn.COVARIANCE.S(INDEX(S6_Returns!$B$2:$K$49,0,ROW()-1),INDEX(S6_Returns!$B$2:$K$49,0,COLUMN()-1))*12</f>
        <v>0</v>
      </c>
      <c r="I4" s="6">
        <f>_xlfn.COVARIANCE.S(INDEX(S6_Returns!$B$2:$K$49,0,ROW()-1),INDEX(S6_Returns!$B$2:$K$49,0,COLUMN()-1))*12</f>
        <v>0</v>
      </c>
      <c r="J4" s="6">
        <f>_xlfn.COVARIANCE.S(INDEX(S6_Returns!$B$2:$K$49,0,ROW()-1),INDEX(S6_Returns!$B$2:$K$49,0,COLUMN()-1))*12</f>
        <v>0</v>
      </c>
      <c r="K4" s="6">
        <f>_xlfn.COVARIANCE.S(INDEX(S6_Returns!$B$2:$K$49,0,ROW()-1),INDEX(S6_Returns!$B$2:$K$49,0,COLUMN()-1))*12</f>
        <v>0</v>
      </c>
    </row>
    <row r="5" spans="1:11">
      <c r="A5" s="4" t="s">
        <v>4</v>
      </c>
      <c r="B5" s="6">
        <f>_xlfn.COVARIANCE.S(INDEX(S6_Returns!$B$2:$K$49,0,ROW()-1),INDEX(S6_Returns!$B$2:$K$49,0,COLUMN()-1))*12</f>
        <v>0</v>
      </c>
      <c r="C5" s="6">
        <f>_xlfn.COVARIANCE.S(INDEX(S6_Returns!$B$2:$K$49,0,ROW()-1),INDEX(S6_Returns!$B$2:$K$49,0,COLUMN()-1))*12</f>
        <v>0</v>
      </c>
      <c r="D5" s="6">
        <f>_xlfn.COVARIANCE.S(INDEX(S6_Returns!$B$2:$K$49,0,ROW()-1),INDEX(S6_Returns!$B$2:$K$49,0,COLUMN()-1))*12</f>
        <v>0</v>
      </c>
      <c r="E5" s="6">
        <f>_xlfn.COVARIANCE.S(INDEX(S6_Returns!$B$2:$K$49,0,ROW()-1),INDEX(S6_Returns!$B$2:$K$49,0,COLUMN()-1))*12</f>
        <v>0</v>
      </c>
      <c r="F5" s="6">
        <f>_xlfn.COVARIANCE.S(INDEX(S6_Returns!$B$2:$K$49,0,ROW()-1),INDEX(S6_Returns!$B$2:$K$49,0,COLUMN()-1))*12</f>
        <v>0</v>
      </c>
      <c r="G5" s="6">
        <f>_xlfn.COVARIANCE.S(INDEX(S6_Returns!$B$2:$K$49,0,ROW()-1),INDEX(S6_Returns!$B$2:$K$49,0,COLUMN()-1))*12</f>
        <v>0</v>
      </c>
      <c r="H5" s="6">
        <f>_xlfn.COVARIANCE.S(INDEX(S6_Returns!$B$2:$K$49,0,ROW()-1),INDEX(S6_Returns!$B$2:$K$49,0,COLUMN()-1))*12</f>
        <v>0</v>
      </c>
      <c r="I5" s="6">
        <f>_xlfn.COVARIANCE.S(INDEX(S6_Returns!$B$2:$K$49,0,ROW()-1),INDEX(S6_Returns!$B$2:$K$49,0,COLUMN()-1))*12</f>
        <v>0</v>
      </c>
      <c r="J5" s="6">
        <f>_xlfn.COVARIANCE.S(INDEX(S6_Returns!$B$2:$K$49,0,ROW()-1),INDEX(S6_Returns!$B$2:$K$49,0,COLUMN()-1))*12</f>
        <v>0</v>
      </c>
      <c r="K5" s="6">
        <f>_xlfn.COVARIANCE.S(INDEX(S6_Returns!$B$2:$K$49,0,ROW()-1),INDEX(S6_Returns!$B$2:$K$49,0,COLUMN()-1))*12</f>
        <v>0</v>
      </c>
    </row>
    <row r="6" spans="1:11">
      <c r="A6" s="4" t="s">
        <v>5</v>
      </c>
      <c r="B6" s="6">
        <f>_xlfn.COVARIANCE.S(INDEX(S6_Returns!$B$2:$K$49,0,ROW()-1),INDEX(S6_Returns!$B$2:$K$49,0,COLUMN()-1))*12</f>
        <v>0</v>
      </c>
      <c r="C6" s="6">
        <f>_xlfn.COVARIANCE.S(INDEX(S6_Returns!$B$2:$K$49,0,ROW()-1),INDEX(S6_Returns!$B$2:$K$49,0,COLUMN()-1))*12</f>
        <v>0</v>
      </c>
      <c r="D6" s="6">
        <f>_xlfn.COVARIANCE.S(INDEX(S6_Returns!$B$2:$K$49,0,ROW()-1),INDEX(S6_Returns!$B$2:$K$49,0,COLUMN()-1))*12</f>
        <v>0</v>
      </c>
      <c r="E6" s="6">
        <f>_xlfn.COVARIANCE.S(INDEX(S6_Returns!$B$2:$K$49,0,ROW()-1),INDEX(S6_Returns!$B$2:$K$49,0,COLUMN()-1))*12</f>
        <v>0</v>
      </c>
      <c r="F6" s="6">
        <f>_xlfn.COVARIANCE.S(INDEX(S6_Returns!$B$2:$K$49,0,ROW()-1),INDEX(S6_Returns!$B$2:$K$49,0,COLUMN()-1))*12</f>
        <v>0</v>
      </c>
      <c r="G6" s="6">
        <f>_xlfn.COVARIANCE.S(INDEX(S6_Returns!$B$2:$K$49,0,ROW()-1),INDEX(S6_Returns!$B$2:$K$49,0,COLUMN()-1))*12</f>
        <v>0</v>
      </c>
      <c r="H6" s="6">
        <f>_xlfn.COVARIANCE.S(INDEX(S6_Returns!$B$2:$K$49,0,ROW()-1),INDEX(S6_Returns!$B$2:$K$49,0,COLUMN()-1))*12</f>
        <v>0</v>
      </c>
      <c r="I6" s="6">
        <f>_xlfn.COVARIANCE.S(INDEX(S6_Returns!$B$2:$K$49,0,ROW()-1),INDEX(S6_Returns!$B$2:$K$49,0,COLUMN()-1))*12</f>
        <v>0</v>
      </c>
      <c r="J6" s="6">
        <f>_xlfn.COVARIANCE.S(INDEX(S6_Returns!$B$2:$K$49,0,ROW()-1),INDEX(S6_Returns!$B$2:$K$49,0,COLUMN()-1))*12</f>
        <v>0</v>
      </c>
      <c r="K6" s="6">
        <f>_xlfn.COVARIANCE.S(INDEX(S6_Returns!$B$2:$K$49,0,ROW()-1),INDEX(S6_Returns!$B$2:$K$49,0,COLUMN()-1))*12</f>
        <v>0</v>
      </c>
    </row>
    <row r="7" spans="1:11">
      <c r="A7" s="4" t="s">
        <v>6</v>
      </c>
      <c r="B7" s="6">
        <f>_xlfn.COVARIANCE.S(INDEX(S6_Returns!$B$2:$K$49,0,ROW()-1),INDEX(S6_Returns!$B$2:$K$49,0,COLUMN()-1))*12</f>
        <v>0</v>
      </c>
      <c r="C7" s="6">
        <f>_xlfn.COVARIANCE.S(INDEX(S6_Returns!$B$2:$K$49,0,ROW()-1),INDEX(S6_Returns!$B$2:$K$49,0,COLUMN()-1))*12</f>
        <v>0</v>
      </c>
      <c r="D7" s="6">
        <f>_xlfn.COVARIANCE.S(INDEX(S6_Returns!$B$2:$K$49,0,ROW()-1),INDEX(S6_Returns!$B$2:$K$49,0,COLUMN()-1))*12</f>
        <v>0</v>
      </c>
      <c r="E7" s="6">
        <f>_xlfn.COVARIANCE.S(INDEX(S6_Returns!$B$2:$K$49,0,ROW()-1),INDEX(S6_Returns!$B$2:$K$49,0,COLUMN()-1))*12</f>
        <v>0</v>
      </c>
      <c r="F7" s="6">
        <f>_xlfn.COVARIANCE.S(INDEX(S6_Returns!$B$2:$K$49,0,ROW()-1),INDEX(S6_Returns!$B$2:$K$49,0,COLUMN()-1))*12</f>
        <v>0</v>
      </c>
      <c r="G7" s="6">
        <f>_xlfn.COVARIANCE.S(INDEX(S6_Returns!$B$2:$K$49,0,ROW()-1),INDEX(S6_Returns!$B$2:$K$49,0,COLUMN()-1))*12</f>
        <v>0</v>
      </c>
      <c r="H7" s="6">
        <f>_xlfn.COVARIANCE.S(INDEX(S6_Returns!$B$2:$K$49,0,ROW()-1),INDEX(S6_Returns!$B$2:$K$49,0,COLUMN()-1))*12</f>
        <v>0</v>
      </c>
      <c r="I7" s="6">
        <f>_xlfn.COVARIANCE.S(INDEX(S6_Returns!$B$2:$K$49,0,ROW()-1),INDEX(S6_Returns!$B$2:$K$49,0,COLUMN()-1))*12</f>
        <v>0</v>
      </c>
      <c r="J7" s="6">
        <f>_xlfn.COVARIANCE.S(INDEX(S6_Returns!$B$2:$K$49,0,ROW()-1),INDEX(S6_Returns!$B$2:$K$49,0,COLUMN()-1))*12</f>
        <v>0</v>
      </c>
      <c r="K7" s="6">
        <f>_xlfn.COVARIANCE.S(INDEX(S6_Returns!$B$2:$K$49,0,ROW()-1),INDEX(S6_Returns!$B$2:$K$49,0,COLUMN()-1))*12</f>
        <v>0</v>
      </c>
    </row>
    <row r="8" spans="1:11">
      <c r="A8" s="4" t="s">
        <v>7</v>
      </c>
      <c r="B8" s="6">
        <f>_xlfn.COVARIANCE.S(INDEX(S6_Returns!$B$2:$K$49,0,ROW()-1),INDEX(S6_Returns!$B$2:$K$49,0,COLUMN()-1))*12</f>
        <v>0</v>
      </c>
      <c r="C8" s="6">
        <f>_xlfn.COVARIANCE.S(INDEX(S6_Returns!$B$2:$K$49,0,ROW()-1),INDEX(S6_Returns!$B$2:$K$49,0,COLUMN()-1))*12</f>
        <v>0</v>
      </c>
      <c r="D8" s="6">
        <f>_xlfn.COVARIANCE.S(INDEX(S6_Returns!$B$2:$K$49,0,ROW()-1),INDEX(S6_Returns!$B$2:$K$49,0,COLUMN()-1))*12</f>
        <v>0</v>
      </c>
      <c r="E8" s="6">
        <f>_xlfn.COVARIANCE.S(INDEX(S6_Returns!$B$2:$K$49,0,ROW()-1),INDEX(S6_Returns!$B$2:$K$49,0,COLUMN()-1))*12</f>
        <v>0</v>
      </c>
      <c r="F8" s="6">
        <f>_xlfn.COVARIANCE.S(INDEX(S6_Returns!$B$2:$K$49,0,ROW()-1),INDEX(S6_Returns!$B$2:$K$49,0,COLUMN()-1))*12</f>
        <v>0</v>
      </c>
      <c r="G8" s="6">
        <f>_xlfn.COVARIANCE.S(INDEX(S6_Returns!$B$2:$K$49,0,ROW()-1),INDEX(S6_Returns!$B$2:$K$49,0,COLUMN()-1))*12</f>
        <v>0</v>
      </c>
      <c r="H8" s="6">
        <f>_xlfn.COVARIANCE.S(INDEX(S6_Returns!$B$2:$K$49,0,ROW()-1),INDEX(S6_Returns!$B$2:$K$49,0,COLUMN()-1))*12</f>
        <v>0</v>
      </c>
      <c r="I8" s="6">
        <f>_xlfn.COVARIANCE.S(INDEX(S6_Returns!$B$2:$K$49,0,ROW()-1),INDEX(S6_Returns!$B$2:$K$49,0,COLUMN()-1))*12</f>
        <v>0</v>
      </c>
      <c r="J8" s="6">
        <f>_xlfn.COVARIANCE.S(INDEX(S6_Returns!$B$2:$K$49,0,ROW()-1),INDEX(S6_Returns!$B$2:$K$49,0,COLUMN()-1))*12</f>
        <v>0</v>
      </c>
      <c r="K8" s="6">
        <f>_xlfn.COVARIANCE.S(INDEX(S6_Returns!$B$2:$K$49,0,ROW()-1),INDEX(S6_Returns!$B$2:$K$49,0,COLUMN()-1))*12</f>
        <v>0</v>
      </c>
    </row>
    <row r="9" spans="1:11">
      <c r="A9" s="4" t="s">
        <v>8</v>
      </c>
      <c r="B9" s="6">
        <f>_xlfn.COVARIANCE.S(INDEX(S6_Returns!$B$2:$K$49,0,ROW()-1),INDEX(S6_Returns!$B$2:$K$49,0,COLUMN()-1))*12</f>
        <v>0</v>
      </c>
      <c r="C9" s="6">
        <f>_xlfn.COVARIANCE.S(INDEX(S6_Returns!$B$2:$K$49,0,ROW()-1),INDEX(S6_Returns!$B$2:$K$49,0,COLUMN()-1))*12</f>
        <v>0</v>
      </c>
      <c r="D9" s="6">
        <f>_xlfn.COVARIANCE.S(INDEX(S6_Returns!$B$2:$K$49,0,ROW()-1),INDEX(S6_Returns!$B$2:$K$49,0,COLUMN()-1))*12</f>
        <v>0</v>
      </c>
      <c r="E9" s="6">
        <f>_xlfn.COVARIANCE.S(INDEX(S6_Returns!$B$2:$K$49,0,ROW()-1),INDEX(S6_Returns!$B$2:$K$49,0,COLUMN()-1))*12</f>
        <v>0</v>
      </c>
      <c r="F9" s="6">
        <f>_xlfn.COVARIANCE.S(INDEX(S6_Returns!$B$2:$K$49,0,ROW()-1),INDEX(S6_Returns!$B$2:$K$49,0,COLUMN()-1))*12</f>
        <v>0</v>
      </c>
      <c r="G9" s="6">
        <f>_xlfn.COVARIANCE.S(INDEX(S6_Returns!$B$2:$K$49,0,ROW()-1),INDEX(S6_Returns!$B$2:$K$49,0,COLUMN()-1))*12</f>
        <v>0</v>
      </c>
      <c r="H9" s="6">
        <f>_xlfn.COVARIANCE.S(INDEX(S6_Returns!$B$2:$K$49,0,ROW()-1),INDEX(S6_Returns!$B$2:$K$49,0,COLUMN()-1))*12</f>
        <v>0</v>
      </c>
      <c r="I9" s="6">
        <f>_xlfn.COVARIANCE.S(INDEX(S6_Returns!$B$2:$K$49,0,ROW()-1),INDEX(S6_Returns!$B$2:$K$49,0,COLUMN()-1))*12</f>
        <v>0</v>
      </c>
      <c r="J9" s="6">
        <f>_xlfn.COVARIANCE.S(INDEX(S6_Returns!$B$2:$K$49,0,ROW()-1),INDEX(S6_Returns!$B$2:$K$49,0,COLUMN()-1))*12</f>
        <v>0</v>
      </c>
      <c r="K9" s="6">
        <f>_xlfn.COVARIANCE.S(INDEX(S6_Returns!$B$2:$K$49,0,ROW()-1),INDEX(S6_Returns!$B$2:$K$49,0,COLUMN()-1))*12</f>
        <v>0</v>
      </c>
    </row>
    <row r="10" spans="1:11">
      <c r="A10" s="4" t="s">
        <v>9</v>
      </c>
      <c r="B10" s="6">
        <f>_xlfn.COVARIANCE.S(INDEX(S6_Returns!$B$2:$K$49,0,ROW()-1),INDEX(S6_Returns!$B$2:$K$49,0,COLUMN()-1))*12</f>
        <v>0</v>
      </c>
      <c r="C10" s="6">
        <f>_xlfn.COVARIANCE.S(INDEX(S6_Returns!$B$2:$K$49,0,ROW()-1),INDEX(S6_Returns!$B$2:$K$49,0,COLUMN()-1))*12</f>
        <v>0</v>
      </c>
      <c r="D10" s="6">
        <f>_xlfn.COVARIANCE.S(INDEX(S6_Returns!$B$2:$K$49,0,ROW()-1),INDEX(S6_Returns!$B$2:$K$49,0,COLUMN()-1))*12</f>
        <v>0</v>
      </c>
      <c r="E10" s="6">
        <f>_xlfn.COVARIANCE.S(INDEX(S6_Returns!$B$2:$K$49,0,ROW()-1),INDEX(S6_Returns!$B$2:$K$49,0,COLUMN()-1))*12</f>
        <v>0</v>
      </c>
      <c r="F10" s="6">
        <f>_xlfn.COVARIANCE.S(INDEX(S6_Returns!$B$2:$K$49,0,ROW()-1),INDEX(S6_Returns!$B$2:$K$49,0,COLUMN()-1))*12</f>
        <v>0</v>
      </c>
      <c r="G10" s="6">
        <f>_xlfn.COVARIANCE.S(INDEX(S6_Returns!$B$2:$K$49,0,ROW()-1),INDEX(S6_Returns!$B$2:$K$49,0,COLUMN()-1))*12</f>
        <v>0</v>
      </c>
      <c r="H10" s="6">
        <f>_xlfn.COVARIANCE.S(INDEX(S6_Returns!$B$2:$K$49,0,ROW()-1),INDEX(S6_Returns!$B$2:$K$49,0,COLUMN()-1))*12</f>
        <v>0</v>
      </c>
      <c r="I10" s="6">
        <f>_xlfn.COVARIANCE.S(INDEX(S6_Returns!$B$2:$K$49,0,ROW()-1),INDEX(S6_Returns!$B$2:$K$49,0,COLUMN()-1))*12</f>
        <v>0</v>
      </c>
      <c r="J10" s="6">
        <f>_xlfn.COVARIANCE.S(INDEX(S6_Returns!$B$2:$K$49,0,ROW()-1),INDEX(S6_Returns!$B$2:$K$49,0,COLUMN()-1))*12</f>
        <v>0</v>
      </c>
      <c r="K10" s="6">
        <f>_xlfn.COVARIANCE.S(INDEX(S6_Returns!$B$2:$K$49,0,ROW()-1),INDEX(S6_Returns!$B$2:$K$49,0,COLUMN()-1))*12</f>
        <v>0</v>
      </c>
    </row>
    <row r="11" spans="1:11">
      <c r="A11" s="4" t="s">
        <v>10</v>
      </c>
      <c r="B11" s="6">
        <f>_xlfn.COVARIANCE.S(INDEX(S6_Returns!$B$2:$K$49,0,ROW()-1),INDEX(S6_Returns!$B$2:$K$49,0,COLUMN()-1))*12</f>
        <v>0</v>
      </c>
      <c r="C11" s="6">
        <f>_xlfn.COVARIANCE.S(INDEX(S6_Returns!$B$2:$K$49,0,ROW()-1),INDEX(S6_Returns!$B$2:$K$49,0,COLUMN()-1))*12</f>
        <v>0</v>
      </c>
      <c r="D11" s="6">
        <f>_xlfn.COVARIANCE.S(INDEX(S6_Returns!$B$2:$K$49,0,ROW()-1),INDEX(S6_Returns!$B$2:$K$49,0,COLUMN()-1))*12</f>
        <v>0</v>
      </c>
      <c r="E11" s="6">
        <f>_xlfn.COVARIANCE.S(INDEX(S6_Returns!$B$2:$K$49,0,ROW()-1),INDEX(S6_Returns!$B$2:$K$49,0,COLUMN()-1))*12</f>
        <v>0</v>
      </c>
      <c r="F11" s="6">
        <f>_xlfn.COVARIANCE.S(INDEX(S6_Returns!$B$2:$K$49,0,ROW()-1),INDEX(S6_Returns!$B$2:$K$49,0,COLUMN()-1))*12</f>
        <v>0</v>
      </c>
      <c r="G11" s="6">
        <f>_xlfn.COVARIANCE.S(INDEX(S6_Returns!$B$2:$K$49,0,ROW()-1),INDEX(S6_Returns!$B$2:$K$49,0,COLUMN()-1))*12</f>
        <v>0</v>
      </c>
      <c r="H11" s="6">
        <f>_xlfn.COVARIANCE.S(INDEX(S6_Returns!$B$2:$K$49,0,ROW()-1),INDEX(S6_Returns!$B$2:$K$49,0,COLUMN()-1))*12</f>
        <v>0</v>
      </c>
      <c r="I11" s="6">
        <f>_xlfn.COVARIANCE.S(INDEX(S6_Returns!$B$2:$K$49,0,ROW()-1),INDEX(S6_Returns!$B$2:$K$49,0,COLUMN()-1))*12</f>
        <v>0</v>
      </c>
      <c r="J11" s="6">
        <f>_xlfn.COVARIANCE.S(INDEX(S6_Returns!$B$2:$K$49,0,ROW()-1),INDEX(S6_Returns!$B$2:$K$49,0,COLUMN()-1))*12</f>
        <v>0</v>
      </c>
      <c r="K11" s="6">
        <f>_xlfn.COVARIANCE.S(INDEX(S6_Returns!$B$2:$K$49,0,ROW()-1),INDEX(S6_Returns!$B$2:$K$49,0,COLUMN()-1))*12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30.7109375" customWidth="1"/>
    <col min="2" max="12" width="11.7109375" customWidth="1"/>
  </cols>
  <sheetData>
    <row r="1" spans="1:12">
      <c r="A1" s="1" t="s">
        <v>32</v>
      </c>
    </row>
    <row r="2" spans="1:12">
      <c r="A2" s="2" t="s">
        <v>33</v>
      </c>
    </row>
    <row r="3" spans="1:12">
      <c r="A3" s="4" t="s">
        <v>34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35</v>
      </c>
    </row>
    <row r="4" spans="1:12">
      <c r="A4" s="2" t="s">
        <v>36</v>
      </c>
      <c r="B4" s="5">
        <f>S6_Returns!B64</f>
        <v>0</v>
      </c>
      <c r="C4" s="5">
        <f>S6_Returns!C64</f>
        <v>0</v>
      </c>
      <c r="D4" s="5">
        <f>S6_Returns!D64</f>
        <v>0</v>
      </c>
      <c r="E4" s="5">
        <f>S6_Returns!E64</f>
        <v>0</v>
      </c>
      <c r="F4" s="5">
        <f>S6_Returns!F64</f>
        <v>0</v>
      </c>
      <c r="G4" s="5">
        <f>S6_Returns!G64</f>
        <v>0</v>
      </c>
      <c r="H4" s="5">
        <f>S6_Returns!H64</f>
        <v>0</v>
      </c>
      <c r="I4" s="5">
        <f>S6_Returns!I64</f>
        <v>0</v>
      </c>
      <c r="J4" s="5">
        <f>S6_Returns!J64</f>
        <v>0</v>
      </c>
      <c r="K4" s="5">
        <f>S6_Returns!K64</f>
        <v>0</v>
      </c>
    </row>
    <row r="5" spans="1:12">
      <c r="A5" s="2" t="s">
        <v>37</v>
      </c>
      <c r="B5" s="5">
        <f>S6_Returns!B65</f>
        <v>0</v>
      </c>
      <c r="C5" s="5">
        <f>S6_Returns!C65</f>
        <v>0</v>
      </c>
      <c r="D5" s="5">
        <f>S6_Returns!D65</f>
        <v>0</v>
      </c>
      <c r="E5" s="5">
        <f>S6_Returns!E65</f>
        <v>0</v>
      </c>
      <c r="F5" s="5">
        <f>S6_Returns!F65</f>
        <v>0</v>
      </c>
      <c r="G5" s="5">
        <f>S6_Returns!G65</f>
        <v>0</v>
      </c>
      <c r="H5" s="5">
        <f>S6_Returns!H65</f>
        <v>0</v>
      </c>
      <c r="I5" s="5">
        <f>S6_Returns!I65</f>
        <v>0</v>
      </c>
      <c r="J5" s="5">
        <f>S6_Returns!J65</f>
        <v>0</v>
      </c>
      <c r="K5" s="5">
        <f>S6_Returns!K65</f>
        <v>0</v>
      </c>
    </row>
    <row r="6" spans="1:12">
      <c r="A6" s="2" t="s">
        <v>38</v>
      </c>
      <c r="B6" s="10">
        <f>S6_Returns!B66</f>
        <v>0</v>
      </c>
    </row>
    <row r="8" spans="1:12">
      <c r="A8" s="4" t="s">
        <v>39</v>
      </c>
    </row>
    <row r="9" spans="1:12">
      <c r="A9" s="2" t="s">
        <v>40</v>
      </c>
      <c r="B9" s="3">
        <v>0</v>
      </c>
      <c r="C9" s="3">
        <v>0</v>
      </c>
      <c r="D9" s="3">
        <v>0</v>
      </c>
      <c r="E9" s="3">
        <v>0</v>
      </c>
      <c r="F9" s="3">
        <v>0.02860363104616885</v>
      </c>
      <c r="G9" s="3">
        <v>0</v>
      </c>
      <c r="H9" s="3">
        <v>0.3601121046217809</v>
      </c>
      <c r="I9" s="3">
        <v>0.572012962214162</v>
      </c>
      <c r="J9" s="3">
        <v>0</v>
      </c>
      <c r="K9" s="3">
        <v>0.0392713021178883</v>
      </c>
      <c r="L9" s="6">
        <f>SUM(B9:K9)</f>
        <v>0</v>
      </c>
    </row>
    <row r="10" spans="1:12">
      <c r="A10" s="2" t="s">
        <v>41</v>
      </c>
      <c r="B10" s="5">
        <f>SUMPRODUCT(B9:K9,$B$4:$K$4)</f>
        <v>0</v>
      </c>
    </row>
    <row r="11" spans="1:12">
      <c r="A11" s="2" t="s">
        <v>42</v>
      </c>
      <c r="B11" s="10">
        <f>SUMPRODUCT(MMULT(B9:K9,S7_Cov!$B$2:$K$11),B9:K9)</f>
        <v>0</v>
      </c>
    </row>
    <row r="12" spans="1:12">
      <c r="A12" s="2" t="s">
        <v>43</v>
      </c>
      <c r="B12" s="5">
        <f>SQRT(B11)</f>
        <v>0</v>
      </c>
    </row>
    <row r="13" spans="1:12">
      <c r="A13" s="2" t="s">
        <v>44</v>
      </c>
      <c r="B13" s="6">
        <f>(B10-$B$6)/B12</f>
        <v>0</v>
      </c>
    </row>
    <row r="14" spans="1:12">
      <c r="A14" s="4" t="s">
        <v>45</v>
      </c>
    </row>
    <row r="15" spans="1:12">
      <c r="A15" s="2" t="s">
        <v>40</v>
      </c>
      <c r="B15" s="3">
        <v>0</v>
      </c>
      <c r="C15" s="3">
        <v>0</v>
      </c>
      <c r="D15" s="3">
        <v>0</v>
      </c>
      <c r="E15" s="3">
        <v>0</v>
      </c>
      <c r="F15" s="3">
        <v>0.3790168425984393</v>
      </c>
      <c r="G15" s="3">
        <v>0.2289709869891003</v>
      </c>
      <c r="H15" s="3">
        <v>0</v>
      </c>
      <c r="I15" s="3">
        <v>0</v>
      </c>
      <c r="J15" s="3">
        <v>0</v>
      </c>
      <c r="K15" s="3">
        <v>0.3920121704124604</v>
      </c>
      <c r="L15" s="6">
        <f>SUM(B15:K15)</f>
        <v>0</v>
      </c>
    </row>
    <row r="16" spans="1:12">
      <c r="A16" s="2" t="s">
        <v>41</v>
      </c>
      <c r="B16" s="5">
        <f>SUMPRODUCT(B15:K15,$B$4:$K$4)</f>
        <v>0</v>
      </c>
    </row>
    <row r="17" spans="1:11">
      <c r="A17" s="2" t="s">
        <v>46</v>
      </c>
      <c r="B17" s="10">
        <f>SUMPRODUCT(MMULT(B15:K15,S7_Cov!$B$2:$K$11),B15:K15)</f>
        <v>0</v>
      </c>
    </row>
    <row r="18" spans="1:11">
      <c r="A18" s="2" t="s">
        <v>43</v>
      </c>
      <c r="B18" s="5">
        <f>SQRT(B17)</f>
        <v>0</v>
      </c>
    </row>
    <row r="19" spans="1:11">
      <c r="A19" s="2" t="s">
        <v>47</v>
      </c>
      <c r="B19" s="6">
        <f>(B16-$B$6)/B18</f>
        <v>0</v>
      </c>
    </row>
    <row r="20" spans="1:11">
      <c r="A20" s="2" t="s">
        <v>48</v>
      </c>
      <c r="B20" s="6">
        <f>COUNTIF(B15:K15,"&gt;0.0001")</f>
        <v>0</v>
      </c>
    </row>
    <row r="22" spans="1:11">
      <c r="A22" s="4" t="s">
        <v>49</v>
      </c>
    </row>
    <row r="23" spans="1:11">
      <c r="A23" s="2" t="s">
        <v>50</v>
      </c>
      <c r="B23" s="3">
        <v>1.229675879522667</v>
      </c>
    </row>
    <row r="24" spans="1:11">
      <c r="A24" s="2" t="s">
        <v>51</v>
      </c>
      <c r="B24" s="6">
        <f>$B$23*B15</f>
        <v>0</v>
      </c>
      <c r="C24" s="6">
        <f>$B$23*C15</f>
        <v>0</v>
      </c>
      <c r="D24" s="6">
        <f>$B$23*D15</f>
        <v>0</v>
      </c>
      <c r="E24" s="6">
        <f>$B$23*E15</f>
        <v>0</v>
      </c>
      <c r="F24" s="6">
        <f>$B$23*F15</f>
        <v>0</v>
      </c>
      <c r="G24" s="6">
        <f>$B$23*G15</f>
        <v>0</v>
      </c>
      <c r="H24" s="6">
        <f>$B$23*H15</f>
        <v>0</v>
      </c>
      <c r="I24" s="6">
        <f>$B$23*I15</f>
        <v>0</v>
      </c>
      <c r="J24" s="6">
        <f>$B$23*J15</f>
        <v>0</v>
      </c>
      <c r="K24" s="6">
        <f>$B$23*K15</f>
        <v>0</v>
      </c>
    </row>
    <row r="25" spans="1:11">
      <c r="A25" s="2" t="s">
        <v>52</v>
      </c>
      <c r="B25" s="6">
        <f>1-B23</f>
        <v>0</v>
      </c>
    </row>
    <row r="26" spans="1:11">
      <c r="A26" s="2" t="s">
        <v>41</v>
      </c>
      <c r="B26" s="5">
        <f>$B$6+B23*(B16-$B$6)</f>
        <v>0</v>
      </c>
    </row>
    <row r="27" spans="1:11">
      <c r="A27" s="2" t="s">
        <v>43</v>
      </c>
      <c r="B27" s="5">
        <f>B23*B18</f>
        <v>0</v>
      </c>
    </row>
    <row r="28" spans="1:11">
      <c r="A28" s="2" t="s">
        <v>53</v>
      </c>
      <c r="B28" s="6">
        <f>B26-0.5*B29*B27^2</f>
        <v>0</v>
      </c>
    </row>
    <row r="29" spans="1:11">
      <c r="A29" s="2" t="s">
        <v>54</v>
      </c>
      <c r="B29">
        <v>7</v>
      </c>
    </row>
    <row r="30" spans="1:11">
      <c r="A30" s="2" t="s">
        <v>55</v>
      </c>
      <c r="B30" s="6">
        <f>(B16-$B$6)/(B29*B17)</f>
        <v>0</v>
      </c>
    </row>
    <row r="31" spans="1:11">
      <c r="A31" s="2" t="s">
        <v>44</v>
      </c>
      <c r="B31" s="6">
        <f>(B26-$B$6)/B27</f>
        <v>0</v>
      </c>
    </row>
    <row r="33" spans="1:1">
      <c r="A33" s="2" t="s">
        <v>56</v>
      </c>
    </row>
    <row r="34" spans="1:1">
      <c r="A34" t="s">
        <v>57</v>
      </c>
    </row>
    <row r="35" spans="1:1">
      <c r="A35" t="s">
        <v>58</v>
      </c>
    </row>
    <row r="36" spans="1:1">
      <c r="A36" t="s">
        <v>59</v>
      </c>
    </row>
    <row r="37" spans="1:1">
      <c r="A3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Cover</vt:lpstr>
      <vt:lpstr>S1_Summary</vt:lpstr>
      <vt:lpstr>S2_MVF_Excel</vt:lpstr>
      <vt:lpstr>S3_MVF_AI</vt:lpstr>
      <vt:lpstr>S4_Prices</vt:lpstr>
      <vt:lpstr>S5_Macro</vt:lpstr>
      <vt:lpstr>S6_Returns</vt:lpstr>
      <vt:lpstr>S7_Cov</vt:lpstr>
      <vt:lpstr>S8_Solver</vt:lpstr>
      <vt:lpstr>S8_Solver!solver_adj</vt:lpstr>
      <vt:lpstr>S8_Solver!solver_lhs1</vt:lpstr>
      <vt:lpstr>S8_Solver!solver_lhs2</vt:lpstr>
      <vt:lpstr>S8_Solver!solver_opt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2026-10-14T05:09:56Z</dcterms:created>
  <dcterms:modified xsi:type="dcterms:W3CDTF">2026-10-14T05:09:56Z</dcterms:modified>
</cp:coreProperties>
</file>